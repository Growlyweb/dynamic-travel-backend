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Test Data" sheetId="3" state="visible" r:id="rId5"/>
    <sheet name="Bug Log" sheetId="4" state="visible" r:id="rId6"/>
  </sheets>
  <definedNames>
    <definedName function="false" hidden="true" localSheetId="1" name="_xlnm._FilterDatabase" vbProcedure="false">'Test Cases'!$A$1:$N$112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<sst xmlns="http://schemas.openxmlformats.org/spreadsheetml/2006/main" count="1298" uniqueCount="617">
  <si>
    <t xml:space="preserve">Dynamic Travel Backend - API Test Sheet</t>
  </si>
  <si>
    <t xml:space="preserve">Tool: Postman | Base URL: http://localhost:5000 | Database: MongoDB Atlas | Collection: Dynamic Travel Backend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</si>
  <si>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</si>
  <si>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</si>
  <si>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</si>
  <si>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</si>
  <si>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</si>
  <si>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Executed (Pass + Fail)</t>
  </si>
  <si>
    <t xml:space="preserve">Pass rate (of executed)</t>
  </si>
  <si>
    <t xml:space="preserve">Progress (executed / total)</t>
  </si>
  <si>
    <t xml:space="preserve">Results by module</t>
  </si>
  <si>
    <t xml:space="preserve">Module</t>
  </si>
  <si>
    <t xml:space="preserve">Total</t>
  </si>
  <si>
    <t xml:space="preserve">Pass %</t>
  </si>
  <si>
    <t xml:space="preserve">System</t>
  </si>
  <si>
    <t xml:space="preserve">Auth - Register &amp; OTP</t>
  </si>
  <si>
    <t xml:space="preserve">Auth - Login &amp; Session</t>
  </si>
  <si>
    <t xml:space="preserve">Auth - Passwords</t>
  </si>
  <si>
    <t xml:space="preserve">Customer (B2C)</t>
  </si>
  <si>
    <t xml:space="preserve">Agency (B2B)</t>
  </si>
  <si>
    <t xml:space="preserve">Admin - Users</t>
  </si>
  <si>
    <t xml:space="preserve">Admin - Agencies</t>
  </si>
  <si>
    <t xml:space="preserve">Staff</t>
  </si>
  <si>
    <t xml:space="preserve">Documents</t>
  </si>
  <si>
    <t xml:space="preserve">Security</t>
  </si>
  <si>
    <t xml:space="preserve">Check: module total equals total test cases</t>
  </si>
  <si>
    <t xml:space="preserve">How to use this sheet</t>
  </si>
  <si>
    <t xml:space="preserve">1. Run the test in Postman using the 'Postman request' column. Follow 'Steps / test data'.</t>
  </si>
  <si>
    <t xml:space="preserve">2. Fill the yellow cells on 'Test Cases': Actual status (the HTTP code you got), Result (dropdown), Notes / bug ID, Tested on (date).</t>
  </si>
  <si>
    <t xml:space="preserve">3. If Actual status differs from Expected status, the number turns red. Set Result to Fail and note what you saw.</t>
  </si>
  <si>
    <t xml:space="preserve">4. Use Blocked when you cannot run a test (for example no OTP yet). This Summary updates by itself.</t>
  </si>
  <si>
    <t xml:space="preserve">5. Suggested order: System &gt; Admin login &gt; Customer &gt; Agency &gt; Admin agencies &gt; Staff &gt; Documents &gt; Security.</t>
  </si>
  <si>
    <t xml:space="preserve">6. Expected status codes come from documentation/openapi.json. If your API behaves differently on purpose, update the expected value.</t>
  </si>
  <si>
    <t xml:space="preserve">7. Add new cases in the empty formatted rows at the bottom of 'Test Cases'. Use an exact module name from the table above.</t>
  </si>
  <si>
    <t xml:space="preserve">Colour key: yellow cells are for you to fill; everything else is pre-filled.</t>
  </si>
  <si>
    <t xml:space="preserve">Test ID</t>
  </si>
  <si>
    <t xml:space="preserve">Test case</t>
  </si>
  <si>
    <t xml:space="preserve">Login as</t>
  </si>
  <si>
    <t xml:space="preserve">Method</t>
  </si>
  <si>
    <t xml:space="preserve">Endpoint</t>
  </si>
  <si>
    <t xml:space="preserve">Postman request (folder &gt; name)</t>
  </si>
  <si>
    <t xml:space="preserve">Steps / test data</t>
  </si>
  <si>
    <t xml:space="preserve">Expected status</t>
  </si>
  <si>
    <t xml:space="preserve">Expected result</t>
  </si>
  <si>
    <t xml:space="preserve">Actual status</t>
  </si>
  <si>
    <t xml:space="preserve">Result</t>
  </si>
  <si>
    <t xml:space="preserve">Notes / bug ID</t>
  </si>
  <si>
    <t xml:space="preserve">Tested on</t>
  </si>
  <si>
    <t xml:space="preserve">SYS-01</t>
  </si>
  <si>
    <t xml:space="preserve">Health check</t>
  </si>
  <si>
    <t xml:space="preserve">None</t>
  </si>
  <si>
    <t xml:space="preserve">GET</t>
  </si>
  <si>
    <t xml:space="preserve">/health</t>
  </si>
  <si>
    <t xml:space="preserve">00 - Quick start &gt; Health check</t>
  </si>
  <si>
    <t xml:space="preserve">Server and Atlas connection running.</t>
  </si>
  <si>
    <t xml:space="preserve">Body has success:true and db:"up".</t>
  </si>
  <si>
    <t xml:space="preserve">SYS-02</t>
  </si>
  <si>
    <t xml:space="preserve">API root / version</t>
  </si>
  <si>
    <t xml:space="preserve">/</t>
  </si>
  <si>
    <t xml:space="preserve">10 - System &gt; API version</t>
  </si>
  <si>
    <t xml:space="preserve">Send with no token.</t>
  </si>
  <si>
    <t xml:space="preserve">success:true, message "API is running.", version present.</t>
  </si>
  <si>
    <t xml:space="preserve">REG-01</t>
  </si>
  <si>
    <t xml:space="preserve">Register customer with valid data</t>
  </si>
  <si>
    <t xml:space="preserve">POST</t>
  </si>
  <si>
    <t xml:space="preserve">/api/auth/register</t>
  </si>
  <si>
    <t xml:space="preserve">02 - Auth &gt; Register a customer (B2C)</t>
  </si>
  <si>
    <t xml:space="preserve">Use {{customerEmail}} / {{customerPassword}}. Fresh email.</t>
  </si>
  <si>
    <t xml:space="preserve">user.role = B2C, status PENDING, otpSent:true. New line appears in mail.jsonl.</t>
  </si>
  <si>
    <t xml:space="preserve">REG-02</t>
  </si>
  <si>
    <t xml:space="preserve">Register with an email that already exists</t>
  </si>
  <si>
    <t xml:space="preserve">Send the same body a second time.</t>
  </si>
  <si>
    <t xml:space="preserve">code EMAIL_TAKEN.</t>
  </si>
  <si>
    <t xml:space="preserve">REG-03</t>
  </si>
  <si>
    <t xml:space="preserve">Register with a weak password</t>
  </si>
  <si>
    <t xml:space="preserve">Change password to abc12345 (no upper case / symbol).</t>
  </si>
  <si>
    <t xml:space="preserve">code VALIDATION_ERROR, errors[] names the password field.</t>
  </si>
  <si>
    <t xml:space="preserve">REG-04</t>
  </si>
  <si>
    <t xml:space="preserve">Register with an invalid email</t>
  </si>
  <si>
    <t xml:space="preserve">Change email to not-an-email.</t>
  </si>
  <si>
    <t xml:space="preserve">code VALIDATION_ERROR, errors[] names the email field.</t>
  </si>
  <si>
    <t xml:space="preserve">REG-05</t>
  </si>
  <si>
    <t xml:space="preserve">Login before email is verified</t>
  </si>
  <si>
    <t xml:space="preserve">/api/auth/login</t>
  </si>
  <si>
    <t xml:space="preserve">02 - Auth &gt; Log in (email and password)</t>
  </si>
  <si>
    <t xml:space="preserve">Right after register, before verifying OTP.</t>
  </si>
  <si>
    <t xml:space="preserve">code EMAIL_NOT_VERIFIED.</t>
  </si>
  <si>
    <t xml:space="preserve">REG-06</t>
  </si>
  <si>
    <t xml:space="preserve">Verify email with a wrong code</t>
  </si>
  <si>
    <t xml:space="preserve">/api/auth/verify-otp</t>
  </si>
  <si>
    <t xml:space="preserve">02 - Auth &gt; Verify email code</t>
  </si>
  <si>
    <t xml:space="preserve">Set otp = 000000.</t>
  </si>
  <si>
    <t xml:space="preserve">code INVALID_CODE.</t>
  </si>
  <si>
    <t xml:space="preserve">REG-07</t>
  </si>
  <si>
    <t xml:space="preserve">Verify email with the correct code</t>
  </si>
  <si>
    <t xml:space="preserve">Copy newest otp for this email from mail.jsonl into {{otp}}.</t>
  </si>
  <si>
    <t xml:space="preserve">Message "Email verified." User becomes ACTIVE.</t>
  </si>
  <si>
    <t xml:space="preserve">REG-08</t>
  </si>
  <si>
    <t xml:space="preserve">Resend verification code</t>
  </si>
  <si>
    <t xml:space="preserve">/api/auth/resend-otp</t>
  </si>
  <si>
    <t xml:space="preserve">02 - Auth &gt; Resend verification code</t>
  </si>
  <si>
    <t xml:space="preserve">Wait 60 s cooldown if needed.</t>
  </si>
  <si>
    <t xml:space="preserve">Generic message; a new line appears in mail.jsonl.</t>
  </si>
  <si>
    <t xml:space="preserve">LOG-01</t>
  </si>
  <si>
    <t xml:space="preserve">Login as customer with valid credentials</t>
  </si>
  <si>
    <t xml:space="preserve">00 - Quick start &gt; Login as CUSTOMER (B2C)</t>
  </si>
  <si>
    <t xml:space="preserve">Verified customer account.</t>
  </si>
  <si>
    <t xml:space="preserve">data.accessToken present, user.role = B2C. Tests "Role is B2C" green; bearerToken saved.</t>
  </si>
  <si>
    <t xml:space="preserve">LOG-02</t>
  </si>
  <si>
    <t xml:space="preserve">Login as admin with valid credentials</t>
  </si>
  <si>
    <t xml:space="preserve">00 - Quick start &gt; Login as ADMIN</t>
  </si>
  <si>
    <t xml:space="preserve">Admin seeded with npm run seed.</t>
  </si>
  <si>
    <t xml:space="preserve">user.role = ADMIN. Test "Role is ADMIN" green.</t>
  </si>
  <si>
    <t xml:space="preserve">LOG-03</t>
  </si>
  <si>
    <t xml:space="preserve">Login with a wrong password</t>
  </si>
  <si>
    <t xml:space="preserve">Change password to a wrong value.</t>
  </si>
  <si>
    <t xml:space="preserve">code INVALID_CREDENTIALS.</t>
  </si>
  <si>
    <t xml:space="preserve">LOG-04</t>
  </si>
  <si>
    <t xml:space="preserve">Login with an unknown email</t>
  </si>
  <si>
    <t xml:space="preserve">Use nobody@example.com.</t>
  </si>
  <si>
    <t xml:space="preserve">Same INVALID_CREDENTIALS message as wrong password (no account enumeration).</t>
  </si>
  <si>
    <t xml:space="preserve">LOG-05</t>
  </si>
  <si>
    <t xml:space="preserve">Login with an empty email</t>
  </si>
  <si>
    <t xml:space="preserve">Set email to empty string.</t>
  </si>
  <si>
    <t xml:space="preserve">LOG-06</t>
  </si>
  <si>
    <t xml:space="preserve">Web mode: refresh token is an httpOnly cookie</t>
  </si>
  <si>
    <t xml:space="preserve">clientType empty. Open Cookies under Send.</t>
  </si>
  <si>
    <t xml:space="preserve">Cookie refreshToken is set (httpOnly, path /api/auth). Body has no refreshToken.</t>
  </si>
  <si>
    <t xml:space="preserve">LOG-07</t>
  </si>
  <si>
    <t xml:space="preserve">Mobile mode: refresh token in the body</t>
  </si>
  <si>
    <t xml:space="preserve">Set clientType = mobile in the environment.</t>
  </si>
  <si>
    <t xml:space="preserve">data.refreshToken present in the body; no Set-Cookie header.</t>
  </si>
  <si>
    <t xml:space="preserve">LOG-08</t>
  </si>
  <si>
    <t xml:space="preserve">Who am I with a valid token</t>
  </si>
  <si>
    <t xml:space="preserve">Any user</t>
  </si>
  <si>
    <t xml:space="preserve">/api/auth/me</t>
  </si>
  <si>
    <t xml:space="preserve">02 - Auth &gt; Who am I</t>
  </si>
  <si>
    <t xml:space="preserve">Login first.</t>
  </si>
  <si>
    <t xml:space="preserve">Returns the logged-in user, no password or token hash fields.</t>
  </si>
  <si>
    <t xml:space="preserve">LOG-09</t>
  </si>
  <si>
    <t xml:space="preserve">Who am I without a token</t>
  </si>
  <si>
    <t xml:space="preserve">Clear bearerToken (or set Authorization to No Auth).</t>
  </si>
  <si>
    <t xml:space="preserve">Unauthorized, no user data.</t>
  </si>
  <si>
    <t xml:space="preserve">LOG-10</t>
  </si>
  <si>
    <t xml:space="preserve">Who am I with a garbage token</t>
  </si>
  <si>
    <t xml:space="preserve">Set bearerToken = abc.def.ghi.</t>
  </si>
  <si>
    <t xml:space="preserve">Unauthorized.</t>
  </si>
  <si>
    <t xml:space="preserve">LOG-11</t>
  </si>
  <si>
    <t xml:space="preserve">Refresh tokens</t>
  </si>
  <si>
    <t xml:space="preserve">/api/auth/refresh</t>
  </si>
  <si>
    <t xml:space="preserve">02 - Auth &gt; Refresh tokens</t>
  </si>
  <si>
    <t xml:space="preserve">After login (cookie in web mode).</t>
  </si>
  <si>
    <t xml:space="preserve">New accessToken returned and saved to bearerToken.</t>
  </si>
  <si>
    <t xml:space="preserve">LOG-12</t>
  </si>
  <si>
    <t xml:space="preserve">Replay an already-used refresh token</t>
  </si>
  <si>
    <t xml:space="preserve">Mobile mode: refresh once, then send the OLD refreshToken again.</t>
  </si>
  <si>
    <t xml:space="preserve">code SESSION_EXPIRED (theft detection); the session family is revoked.</t>
  </si>
  <si>
    <t xml:space="preserve">LOG-13</t>
  </si>
  <si>
    <t xml:space="preserve">Logout</t>
  </si>
  <si>
    <t xml:space="preserve">/api/auth/logout</t>
  </si>
  <si>
    <t xml:space="preserve">02 - Auth &gt; Log out</t>
  </si>
  <si>
    <t xml:space="preserve">Logged in.</t>
  </si>
  <si>
    <t xml:space="preserve">Message "Logged out."</t>
  </si>
  <si>
    <t xml:space="preserve">LOG-14</t>
  </si>
  <si>
    <t xml:space="preserve">Refresh after logout</t>
  </si>
  <si>
    <t xml:space="preserve">Run right after logout.</t>
  </si>
  <si>
    <t xml:space="preserve">code SESSION_EXPIRED.</t>
  </si>
  <si>
    <t xml:space="preserve">LOG-15</t>
  </si>
  <si>
    <t xml:space="preserve">Expired access token</t>
  </si>
  <si>
    <t xml:space="preserve">Wait more than 15 minutes after login, then send.</t>
  </si>
  <si>
    <t xml:space="preserve">Unauthorized. Login again to continue.</t>
  </si>
  <si>
    <t xml:space="preserve">PWD-01</t>
  </si>
  <si>
    <t xml:space="preserve">Forgot password for an existing email</t>
  </si>
  <si>
    <t xml:space="preserve">/api/auth/forgot-password</t>
  </si>
  <si>
    <t xml:space="preserve">02 - Auth &gt; Forgot password: request a code</t>
  </si>
  <si>
    <t xml:space="preserve">Use {{customerEmail}}.</t>
  </si>
  <si>
    <t xml:space="preserve">Generic message; reset code appears in mail.jsonl.</t>
  </si>
  <si>
    <t xml:space="preserve">PWD-02</t>
  </si>
  <si>
    <t xml:space="preserve">Forgot password for an unknown email</t>
  </si>
  <si>
    <t xml:space="preserve">Same generic message as above (no account enumeration); nothing in mail.jsonl.</t>
  </si>
  <si>
    <t xml:space="preserve">PWD-03</t>
  </si>
  <si>
    <t xml:space="preserve">Check reset code - wrong</t>
  </si>
  <si>
    <t xml:space="preserve">/api/auth/verify-reset-token</t>
  </si>
  <si>
    <t xml:space="preserve">02 - Auth &gt; Forgot password: check the code</t>
  </si>
  <si>
    <t xml:space="preserve">otp = 000000.</t>
  </si>
  <si>
    <t xml:space="preserve">PWD-04</t>
  </si>
  <si>
    <t xml:space="preserve">Check reset code - correct</t>
  </si>
  <si>
    <t xml:space="preserve">Newest reset otp from mail.jsonl.</t>
  </si>
  <si>
    <t xml:space="preserve">Message "Code is valid."</t>
  </si>
  <si>
    <t xml:space="preserve">PWD-05</t>
  </si>
  <si>
    <t xml:space="preserve">Reset password with a valid code</t>
  </si>
  <si>
    <t xml:space="preserve">/api/auth/reset-password</t>
  </si>
  <si>
    <t xml:space="preserve">02 - Auth &gt; Forgot password: set the new password</t>
  </si>
  <si>
    <t xml:space="preserve">Use {{newPassword}}.</t>
  </si>
  <si>
    <t xml:space="preserve">Message "Password reset. Please log in". Login with the new password works; old one fails.</t>
  </si>
  <si>
    <t xml:space="preserve">PWD-06</t>
  </si>
  <si>
    <t xml:space="preserve">Reuse the same reset code</t>
  </si>
  <si>
    <t xml:space="preserve">Send the same body again.</t>
  </si>
  <si>
    <t xml:space="preserve">code INVALID_CODE (code is single use).</t>
  </si>
  <si>
    <t xml:space="preserve">PWD-07</t>
  </si>
  <si>
    <t xml:space="preserve">Change password with the correct current password</t>
  </si>
  <si>
    <t xml:space="preserve">Customer</t>
  </si>
  <si>
    <t xml:space="preserve">/api/auth/change-password</t>
  </si>
  <si>
    <t xml:space="preserve">02 - Auth &gt; Change password (signed in)</t>
  </si>
  <si>
    <t xml:space="preserve">Logged in as customer.</t>
  </si>
  <si>
    <t xml:space="preserve">Message says other sessions were signed out. Update customerPassword in the environment afterwards.</t>
  </si>
  <si>
    <t xml:space="preserve">PWD-08</t>
  </si>
  <si>
    <t xml:space="preserve">Change password with a wrong current password</t>
  </si>
  <si>
    <t xml:space="preserve">currentPassword = WrongPass1!</t>
  </si>
  <si>
    <t xml:space="preserve">code WRONG_PASSWORD.</t>
  </si>
  <si>
    <t xml:space="preserve">PWD-09</t>
  </si>
  <si>
    <t xml:space="preserve">Change password to a weak password</t>
  </si>
  <si>
    <t xml:space="preserve">newPassword = 12345678.</t>
  </si>
  <si>
    <t xml:space="preserve">code VALIDATION_ERROR.</t>
  </si>
  <si>
    <t xml:space="preserve">B2C-01</t>
  </si>
  <si>
    <t xml:space="preserve">Get my profile</t>
  </si>
  <si>
    <t xml:space="preserve">/api/b2c/profile</t>
  </si>
  <si>
    <t xml:space="preserve">03 - Customer (B2C) &gt; My profile</t>
  </si>
  <si>
    <t xml:space="preserve">Own profile returned.</t>
  </si>
  <si>
    <t xml:space="preserve">B2C-02</t>
  </si>
  <si>
    <t xml:space="preserve">Update my profile</t>
  </si>
  <si>
    <t xml:space="preserve">PATCH</t>
  </si>
  <si>
    <t xml:space="preserve">03 - Customer (B2C) &gt; Update my profile</t>
  </si>
  <si>
    <t xml:space="preserve">Change name and phone.</t>
  </si>
  <si>
    <t xml:space="preserve">Updated values returned; GET shows the same values.</t>
  </si>
  <si>
    <t xml:space="preserve">B2C-03</t>
  </si>
  <si>
    <t xml:space="preserve">Update profile with an invalid phone</t>
  </si>
  <si>
    <t xml:space="preserve">phone = 123.</t>
  </si>
  <si>
    <t xml:space="preserve">B2C-04</t>
  </si>
  <si>
    <t xml:space="preserve">Customer profile without a token</t>
  </si>
  <si>
    <t xml:space="preserve">No bearer token.</t>
  </si>
  <si>
    <t xml:space="preserve">B2C-05</t>
  </si>
  <si>
    <t xml:space="preserve">RBAC: customer calls an admin route</t>
  </si>
  <si>
    <t xml:space="preserve">/api/admin/users</t>
  </si>
  <si>
    <t xml:space="preserve">06 - Admin: users &gt; List users</t>
  </si>
  <si>
    <t xml:space="preserve">Forbidden; no user list returned.</t>
  </si>
  <si>
    <t xml:space="preserve">B2C-06</t>
  </si>
  <si>
    <t xml:space="preserve">RBAC: customer calls an agency route</t>
  </si>
  <si>
    <t xml:space="preserve">/api/b2b/profile</t>
  </si>
  <si>
    <t xml:space="preserve">04 - Agency (B2B) &gt; My profile and partner record</t>
  </si>
  <si>
    <t xml:space="preserve">Forbidden.</t>
  </si>
  <si>
    <t xml:space="preserve">B2C-07</t>
  </si>
  <si>
    <t xml:space="preserve">RBAC: customer calls a staff route</t>
  </si>
  <si>
    <t xml:space="preserve">/api/staff/partners</t>
  </si>
  <si>
    <t xml:space="preserve">05 - Staff &gt; List agencies (read only)</t>
  </si>
  <si>
    <t xml:space="preserve">B2B-01</t>
  </si>
  <si>
    <t xml:space="preserve">Register agency with valid data and trade license</t>
  </si>
  <si>
    <t xml:space="preserve">/api/auth/b2b/register</t>
  </si>
  <si>
    <t xml:space="preserve">02 - Auth &gt; Register an agency (B2B)</t>
  </si>
  <si>
    <t xml:space="preserve">Attach a PDF/JPG/PNG (under 5 MB) to tradeLicense.</t>
  </si>
  <si>
    <t xml:space="preserve">user.role = B2B, status PENDING; partner record created; partnerId saved; OTP in mail.jsonl.</t>
  </si>
  <si>
    <t xml:space="preserve">B2B-02</t>
  </si>
  <si>
    <t xml:space="preserve">Register agency without a trade license file</t>
  </si>
  <si>
    <t xml:space="preserve">Remove the tradeLicense file.</t>
  </si>
  <si>
    <t xml:space="preserve">code VALIDATION_ERROR, error on tradeLicense.</t>
  </si>
  <si>
    <t xml:space="preserve">B2B-03</t>
  </si>
  <si>
    <t xml:space="preserve">Register agency with a disallowed file type</t>
  </si>
  <si>
    <t xml:space="preserve">Attach a .txt or .exe file.</t>
  </si>
  <si>
    <t xml:space="preserve">code FILE_TYPE_NOT_ALLOWED.</t>
  </si>
  <si>
    <t xml:space="preserve">B2B-04</t>
  </si>
  <si>
    <t xml:space="preserve">Register agency with a file over 5 MB</t>
  </si>
  <si>
    <t xml:space="preserve">Attach a file larger than 5 MB.</t>
  </si>
  <si>
    <t xml:space="preserve">Payload too large; nothing is created.</t>
  </si>
  <si>
    <t xml:space="preserve">B2B-05</t>
  </si>
  <si>
    <t xml:space="preserve">Register agency with an existing email</t>
  </si>
  <si>
    <t xml:space="preserve">Reuse {{agencyEmail}}.</t>
  </si>
  <si>
    <t xml:space="preserve">B2B-06</t>
  </si>
  <si>
    <t xml:space="preserve">Agency login before email verification</t>
  </si>
  <si>
    <t xml:space="preserve">00 - Quick start &gt; Login as AGENCY (B2B)</t>
  </si>
  <si>
    <t xml:space="preserve">Before verifying OTP.</t>
  </si>
  <si>
    <t xml:space="preserve">B2B-07</t>
  </si>
  <si>
    <t xml:space="preserve">Verify agency email</t>
  </si>
  <si>
    <t xml:space="preserve">Email = {{agencyEmail}}; newest otp from mail.jsonl.</t>
  </si>
  <si>
    <t xml:space="preserve">Email verified.</t>
  </si>
  <si>
    <t xml:space="preserve">B2B-08</t>
  </si>
  <si>
    <t xml:space="preserve">Agency login after verification</t>
  </si>
  <si>
    <t xml:space="preserve">user.role = B2B. Test "Role is B2B" green.</t>
  </si>
  <si>
    <t xml:space="preserve">B2B-09</t>
  </si>
  <si>
    <t xml:space="preserve">Get agency profile and partner record</t>
  </si>
  <si>
    <t xml:space="preserve">Agency</t>
  </si>
  <si>
    <t xml:space="preserve">User and partner (company, license, documents) returned.</t>
  </si>
  <si>
    <t xml:space="preserve">B2B-10</t>
  </si>
  <si>
    <t xml:space="preserve">Update agency profile</t>
  </si>
  <si>
    <t xml:space="preserve">04 - Agency (B2B) &gt; Update my profile</t>
  </si>
  <si>
    <t xml:space="preserve">Change address and businessType.</t>
  </si>
  <si>
    <t xml:space="preserve">Updated values returned.</t>
  </si>
  <si>
    <t xml:space="preserve">B2B-11</t>
  </si>
  <si>
    <t xml:space="preserve">List my documents</t>
  </si>
  <si>
    <t xml:space="preserve">/api/b2b/documents</t>
  </si>
  <si>
    <t xml:space="preserve">04 - Agency (B2B) &gt; My documents and their review status</t>
  </si>
  <si>
    <t xml:space="preserve">TRADE_LICENSE listed with status PENDING.</t>
  </si>
  <si>
    <t xml:space="preserve">B2B-12</t>
  </si>
  <si>
    <t xml:space="preserve">Upload an extra document</t>
  </si>
  <si>
    <t xml:space="preserve">04 - Agency (B2B) &gt; Upload more documents</t>
  </si>
  <si>
    <t xml:space="preserve">Attach a valid file to businessCard.</t>
  </si>
  <si>
    <t xml:space="preserve">New document added with status PENDING.</t>
  </si>
  <si>
    <t xml:space="preserve">B2B-13</t>
  </si>
  <si>
    <t xml:space="preserve">Upload an extra document with a bad file type</t>
  </si>
  <si>
    <t xml:space="preserve">Attach a .txt file.</t>
  </si>
  <si>
    <t xml:space="preserve">B2B-14</t>
  </si>
  <si>
    <t xml:space="preserve">Operational overview before approval</t>
  </si>
  <si>
    <t xml:space="preserve">/api/b2b/overview</t>
  </si>
  <si>
    <t xml:space="preserve">04 - Agency (B2B) &gt; Operational overview (approved agencies only)</t>
  </si>
  <si>
    <t xml:space="preserve">Agency still PENDING.</t>
  </si>
  <si>
    <t xml:space="preserve">code PARTNER_NOT_APPROVED.</t>
  </si>
  <si>
    <t xml:space="preserve">B2B-15</t>
  </si>
  <si>
    <t xml:space="preserve">Operational overview after approval</t>
  </si>
  <si>
    <t xml:space="preserve">After admin approves the agency; login again.</t>
  </si>
  <si>
    <t xml:space="preserve">Overview returned.</t>
  </si>
  <si>
    <t xml:space="preserve">B2B-16</t>
  </si>
  <si>
    <t xml:space="preserve">RBAC: agency calls an admin route</t>
  </si>
  <si>
    <t xml:space="preserve">/api/admin/b2b</t>
  </si>
  <si>
    <t xml:space="preserve">07 - Admin: agencies &gt; List agencies</t>
  </si>
  <si>
    <t xml:space="preserve">Logged in as agency.</t>
  </si>
  <si>
    <t xml:space="preserve">B2B-17</t>
  </si>
  <si>
    <t xml:space="preserve">RBAC: agency calls a staff route</t>
  </si>
  <si>
    <t xml:space="preserve">ADU-01</t>
  </si>
  <si>
    <t xml:space="preserve">List users</t>
  </si>
  <si>
    <t xml:space="preserve">Admin</t>
  </si>
  <si>
    <t xml:space="preserve">data[] with meta (total, page, limit, totalPages); userId saved.</t>
  </si>
  <si>
    <t xml:space="preserve">ADU-02</t>
  </si>
  <si>
    <t xml:space="preserve">List users filtered by role</t>
  </si>
  <si>
    <t xml:space="preserve">Enable the role=B2C query param.</t>
  </si>
  <si>
    <t xml:space="preserve">Only B2C users returned.</t>
  </si>
  <si>
    <t xml:space="preserve">ADU-03</t>
  </si>
  <si>
    <t xml:space="preserve">List users with an invalid limit</t>
  </si>
  <si>
    <t xml:space="preserve">limit = abc.</t>
  </si>
  <si>
    <t xml:space="preserve">ADU-04</t>
  </si>
  <si>
    <t xml:space="preserve">Get one user</t>
  </si>
  <si>
    <t xml:space="preserve">/api/admin/users/{id}</t>
  </si>
  <si>
    <t xml:space="preserve">06 - Admin: users &gt; Get one user</t>
  </si>
  <si>
    <t xml:space="preserve">{{userId}} is set.</t>
  </si>
  <si>
    <t xml:space="preserve">User returned.</t>
  </si>
  <si>
    <t xml:space="preserve">ADU-05</t>
  </si>
  <si>
    <t xml:space="preserve">Get a user with a malformed id</t>
  </si>
  <si>
    <t xml:space="preserve">Set the id in the URL to 123.</t>
  </si>
  <si>
    <t xml:space="preserve">ADU-06</t>
  </si>
  <si>
    <t xml:space="preserve">Get a user that does not exist</t>
  </si>
  <si>
    <t xml:space="preserve">Use a valid-looking id such as 64b7f0f0f0f0f0f0f0f0f0f0.</t>
  </si>
  <si>
    <t xml:space="preserve">Not found.</t>
  </si>
  <si>
    <t xml:space="preserve">ADU-07</t>
  </si>
  <si>
    <t xml:space="preserve">Edit another user's profile</t>
  </si>
  <si>
    <t xml:space="preserve">06 - Admin: users &gt; Edit someone else's profile (name, phone)</t>
  </si>
  <si>
    <t xml:space="preserve">Name / phone updated.</t>
  </si>
  <si>
    <t xml:space="preserve">ADU-08</t>
  </si>
  <si>
    <t xml:space="preserve">Create a staff account</t>
  </si>
  <si>
    <t xml:space="preserve">/api/admin/staff</t>
  </si>
  <si>
    <t xml:space="preserve">06 - Admin: users &gt; Create a staff account (sends an invite)</t>
  </si>
  <si>
    <t xml:space="preserve">Use {{staffEmail}}, permissions B2B_VIEW, DOCUMENT_VIEW, DOCUMENT_VERIFY.</t>
  </si>
  <si>
    <t xml:space="preserve">role STAFF, status PENDING, inviteSent:true; invite link with token in mail.jsonl.</t>
  </si>
  <si>
    <t xml:space="preserve">ADU-09</t>
  </si>
  <si>
    <t xml:space="preserve">Create a staff account with an existing email</t>
  </si>
  <si>
    <t xml:space="preserve">Email already exists.</t>
  </si>
  <si>
    <t xml:space="preserve">ADU-10</t>
  </si>
  <si>
    <t xml:space="preserve">Create a staff account with an unknown permission</t>
  </si>
  <si>
    <t xml:space="preserve">permissions = ["FLY_PLANES"].</t>
  </si>
  <si>
    <t xml:space="preserve">ADU-11</t>
  </si>
  <si>
    <t xml:space="preserve">Create a second admin</t>
  </si>
  <si>
    <t xml:space="preserve">06 - Admin: users &gt; Create an admin or staff account (sends an invite)</t>
  </si>
  <si>
    <t xml:space="preserve">Use admin2@example.com.</t>
  </si>
  <si>
    <t xml:space="preserve">role ADMIN, status PENDING, inviteSent:true.</t>
  </si>
  <si>
    <t xml:space="preserve">ADU-12</t>
  </si>
  <si>
    <t xml:space="preserve">Staff sets first password with the invite token</t>
  </si>
  <si>
    <t xml:space="preserve">/api/auth/setup-account</t>
  </si>
  <si>
    <t xml:space="preserve">02 - Auth &gt; Invited staff or admin: set the first password</t>
  </si>
  <si>
    <t xml:space="preserve">Copy token from the invite link in mail.jsonl into {{inviteToken}}.</t>
  </si>
  <si>
    <t xml:space="preserve">Account activated.</t>
  </si>
  <si>
    <t xml:space="preserve">ADU-13</t>
  </si>
  <si>
    <t xml:space="preserve">Setup account with a wrong token</t>
  </si>
  <si>
    <t xml:space="preserve">token = abc.</t>
  </si>
  <si>
    <t xml:space="preserve">code INVALID_INVITE.</t>
  </si>
  <si>
    <t xml:space="preserve">ADU-14</t>
  </si>
  <si>
    <t xml:space="preserve">Staff login</t>
  </si>
  <si>
    <t xml:space="preserve">00 - Quick start &gt; Login as STAFF</t>
  </si>
  <si>
    <t xml:space="preserve">After setup-account.</t>
  </si>
  <si>
    <t xml:space="preserve">user.role = STAFF. Test "Role is STAFF" green.</t>
  </si>
  <si>
    <t xml:space="preserve">ADU-15</t>
  </si>
  <si>
    <t xml:space="preserve">Resend an invitation</t>
  </si>
  <si>
    <t xml:space="preserve">/api/admin/users/{id}/resend-invite</t>
  </si>
  <si>
    <t xml:space="preserve">06 - Admin: users &gt; Resend an invitation</t>
  </si>
  <si>
    <t xml:space="preserve">{{userId}} = a user still PENDING invite.</t>
  </si>
  <si>
    <t xml:space="preserve">New invite in mail.jsonl.</t>
  </si>
  <si>
    <t xml:space="preserve">ADU-16</t>
  </si>
  <si>
    <t xml:space="preserve">Suspend a user</t>
  </si>
  <si>
    <t xml:space="preserve">/api/admin/users/{id}/status</t>
  </si>
  <si>
    <t xml:space="preserve">06 - Admin: users &gt; Change account status</t>
  </si>
  <si>
    <t xml:space="preserve">{{userId}} = a non-admin user. Body status SUSPENDED.</t>
  </si>
  <si>
    <t xml:space="preserve">Status updated.</t>
  </si>
  <si>
    <t xml:space="preserve">ADU-17</t>
  </si>
  <si>
    <t xml:space="preserve">Suspended user tries to login</t>
  </si>
  <si>
    <t xml:space="preserve">Login as the suspended user.</t>
  </si>
  <si>
    <t xml:space="preserve">Login refused.</t>
  </si>
  <si>
    <t xml:space="preserve">ADU-18</t>
  </si>
  <si>
    <t xml:space="preserve">Reactivate a user</t>
  </si>
  <si>
    <t xml:space="preserve">Change body status to ACTIVE.</t>
  </si>
  <si>
    <t xml:space="preserve">Status ACTIVE; user can login again.</t>
  </si>
  <si>
    <t xml:space="preserve">ADU-19</t>
  </si>
  <si>
    <t xml:space="preserve">Admin changes their own status</t>
  </si>
  <si>
    <t xml:space="preserve">Set {{userId}} to your own admin id (variable me).</t>
  </si>
  <si>
    <t xml:space="preserve">code SELF_CHANGE.</t>
  </si>
  <si>
    <t xml:space="preserve">ADU-20</t>
  </si>
  <si>
    <t xml:space="preserve">Change a user's role to STAFF</t>
  </si>
  <si>
    <t xml:space="preserve">/api/admin/users/{id}/role</t>
  </si>
  <si>
    <t xml:space="preserve">06 - Admin: users &gt; Change role (admin or staff only)</t>
  </si>
  <si>
    <t xml:space="preserve">{{userId}} = a staff or admin user.</t>
  </si>
  <si>
    <t xml:space="preserve">Role updated.</t>
  </si>
  <si>
    <t xml:space="preserve">ADU-21</t>
  </si>
  <si>
    <t xml:space="preserve">Change the role of a customer / agency</t>
  </si>
  <si>
    <t xml:space="preserve">{{userId}} = a B2C or B2B user.</t>
  </si>
  <si>
    <t xml:space="preserve">code ROLE_LOCKED.</t>
  </si>
  <si>
    <t xml:space="preserve">ADU-22</t>
  </si>
  <si>
    <t xml:space="preserve">Set staff permissions</t>
  </si>
  <si>
    <t xml:space="preserve">/api/admin/users/{id}/permissions</t>
  </si>
  <si>
    <t xml:space="preserve">06 - Admin: users &gt; Set staff permissions</t>
  </si>
  <si>
    <t xml:space="preserve">{{userId}} = staff user.</t>
  </si>
  <si>
    <t xml:space="preserve">Permissions updated.</t>
  </si>
  <si>
    <t xml:space="preserve">ADU-23</t>
  </si>
  <si>
    <t xml:space="preserve">Set permissions on a non-staff user</t>
  </si>
  <si>
    <t xml:space="preserve">{{userId}} = a customer.</t>
  </si>
  <si>
    <t xml:space="preserve">code PERMISSIONS_NOT_ASSIGNABLE.</t>
  </si>
  <si>
    <t xml:space="preserve">ADU-24</t>
  </si>
  <si>
    <t xml:space="preserve">Deactivate (soft delete) a user</t>
  </si>
  <si>
    <t xml:space="preserve">DELETE</t>
  </si>
  <si>
    <t xml:space="preserve">06 - Admin: users &gt; Deactivate a user (soft delete)</t>
  </si>
  <si>
    <t xml:space="preserve">{{userId}} = a test user, NOT your admin.</t>
  </si>
  <si>
    <t xml:space="preserve">Account deactivated.</t>
  </si>
  <si>
    <t xml:space="preserve">ADU-25</t>
  </si>
  <si>
    <t xml:space="preserve">Admin deactivates themselves</t>
  </si>
  <si>
    <t xml:space="preserve">Set {{userId}} to your own id.</t>
  </si>
  <si>
    <t xml:space="preserve">ADU-26</t>
  </si>
  <si>
    <t xml:space="preserve">Roles and permissions catalog</t>
  </si>
  <si>
    <t xml:space="preserve">/api/admin/rbac</t>
  </si>
  <si>
    <t xml:space="preserve">06 - Admin: users &gt; Roles and permissions catalog</t>
  </si>
  <si>
    <t xml:space="preserve">Roles and permission list returned.</t>
  </si>
  <si>
    <t xml:space="preserve">ADU-27</t>
  </si>
  <si>
    <t xml:space="preserve">Admin profile</t>
  </si>
  <si>
    <t xml:space="preserve">/api/admin/profile</t>
  </si>
  <si>
    <t xml:space="preserve">06 - Admin: users &gt; My profile (admin)</t>
  </si>
  <si>
    <t xml:space="preserve">Own profile.</t>
  </si>
  <si>
    <t xml:space="preserve">ADU-28</t>
  </si>
  <si>
    <t xml:space="preserve">Audit log lists the actions just performed</t>
  </si>
  <si>
    <t xml:space="preserve">/api/admin/audit-logs</t>
  </si>
  <si>
    <t xml:space="preserve">08 - Admin: audit &gt; Audit log</t>
  </si>
  <si>
    <t xml:space="preserve">Run after login, create, suspend tests.</t>
  </si>
  <si>
    <t xml:space="preserve">Entries for LOGIN, user creation and status change visible.</t>
  </si>
  <si>
    <t xml:space="preserve">ADA-01</t>
  </si>
  <si>
    <t xml:space="preserve">List agencies</t>
  </si>
  <si>
    <t xml:space="preserve">Partners listed; partnerId and docId saved.</t>
  </si>
  <si>
    <t xml:space="preserve">ADA-02</t>
  </si>
  <si>
    <t xml:space="preserve">Get one agency</t>
  </si>
  <si>
    <t xml:space="preserve">/api/admin/b2b/{id}</t>
  </si>
  <si>
    <t xml:space="preserve">07 - Admin: agencies &gt; Get one agency</t>
  </si>
  <si>
    <t xml:space="preserve">Partner with documents returned.</t>
  </si>
  <si>
    <t xml:space="preserve">ADA-03</t>
  </si>
  <si>
    <t xml:space="preserve">Edit an agency business record</t>
  </si>
  <si>
    <t xml:space="preserve">07 - Admin: agencies &gt; Edit an agency's business record</t>
  </si>
  <si>
    <t xml:space="preserve">Change companyName and address.</t>
  </si>
  <si>
    <t xml:space="preserve">ADA-04</t>
  </si>
  <si>
    <t xml:space="preserve">Verify an agency document</t>
  </si>
  <si>
    <t xml:space="preserve">/api/admin/b2b/{id}/documents/{docId}</t>
  </si>
  <si>
    <t xml:space="preserve">07 - Admin: agencies &gt; Verify or reject an agency document</t>
  </si>
  <si>
    <t xml:space="preserve">Body status VERIFIED.</t>
  </si>
  <si>
    <t xml:space="preserve">Document status VERIFIED.</t>
  </si>
  <si>
    <t xml:space="preserve">ADA-05</t>
  </si>
  <si>
    <t xml:space="preserve">Reject a document with a note</t>
  </si>
  <si>
    <t xml:space="preserve">Body status REJECTED + note.</t>
  </si>
  <si>
    <t xml:space="preserve">Status REJECTED; agency sees the note under My documents.</t>
  </si>
  <si>
    <t xml:space="preserve">ADA-06</t>
  </si>
  <si>
    <t xml:space="preserve">Approve an agency</t>
  </si>
  <si>
    <t xml:space="preserve">/api/admin/b2b/{id}/approval</t>
  </si>
  <si>
    <t xml:space="preserve">07 - Admin: agencies &gt; Approve, reject, review or suspend an agency</t>
  </si>
  <si>
    <t xml:space="preserve">Body decision APPROVED.</t>
  </si>
  <si>
    <t xml:space="preserve">approvalStatus APPROVED; email logged in mail.jsonl.</t>
  </si>
  <si>
    <t xml:space="preserve">ADA-07</t>
  </si>
  <si>
    <t xml:space="preserve">Suspend an approved agency</t>
  </si>
  <si>
    <t xml:space="preserve">Body decision SUSPENDED + note.</t>
  </si>
  <si>
    <t xml:space="preserve">approvalStatus SUSPENDED; agency overview returns 403 again.</t>
  </si>
  <si>
    <t xml:space="preserve">ADA-08</t>
  </si>
  <si>
    <t xml:space="preserve">Get an agency with a malformed id</t>
  </si>
  <si>
    <t xml:space="preserve">Set id to abc in the URL.</t>
  </si>
  <si>
    <t xml:space="preserve">STF-01</t>
  </si>
  <si>
    <t xml:space="preserve">Staff profile</t>
  </si>
  <si>
    <t xml:space="preserve">/api/staff/profile</t>
  </si>
  <si>
    <t xml:space="preserve">05 - Staff &gt; My profile</t>
  </si>
  <si>
    <t xml:space="preserve">STF-02</t>
  </si>
  <si>
    <t xml:space="preserve">Update staff profile</t>
  </si>
  <si>
    <t xml:space="preserve">05 - Staff &gt; Update my profile</t>
  </si>
  <si>
    <t xml:space="preserve">Name updated.</t>
  </si>
  <si>
    <t xml:space="preserve">STF-03</t>
  </si>
  <si>
    <t xml:space="preserve">List agencies with B2B_VIEW permission</t>
  </si>
  <si>
    <t xml:space="preserve">Staff has B2B_VIEW.</t>
  </si>
  <si>
    <t xml:space="preserve">Partners listed (read only).</t>
  </si>
  <si>
    <t xml:space="preserve">STF-04</t>
  </si>
  <si>
    <t xml:space="preserve">List agencies without the permission</t>
  </si>
  <si>
    <t xml:space="preserve">Admin removes B2B_VIEW first (Set staff permissions).</t>
  </si>
  <si>
    <t xml:space="preserve">STF-05</t>
  </si>
  <si>
    <t xml:space="preserve">Verify an agency document with DOCUMENT_VERIFY</t>
  </si>
  <si>
    <t xml:space="preserve">/api/staff/partners/{id}/documents/{docId}</t>
  </si>
  <si>
    <t xml:space="preserve">05 - Staff &gt; Verify or reject an agency document</t>
  </si>
  <si>
    <t xml:space="preserve">Staff has DOCUMENT_VERIFY.</t>
  </si>
  <si>
    <t xml:space="preserve">Document reviewed.</t>
  </si>
  <si>
    <t xml:space="preserve">STF-06</t>
  </si>
  <si>
    <t xml:space="preserve">RBAC: staff calls an admin route</t>
  </si>
  <si>
    <t xml:space="preserve">Logged in as staff.</t>
  </si>
  <si>
    <t xml:space="preserve">STF-07</t>
  </si>
  <si>
    <t xml:space="preserve">RBAC: staff tries to approve an agency</t>
  </si>
  <si>
    <t xml:space="preserve">Forbidden - only ADMIN may approve.</t>
  </si>
  <si>
    <t xml:space="preserve">DOC-01</t>
  </si>
  <si>
    <t xml:space="preserve">Admin downloads an agency document</t>
  </si>
  <si>
    <t xml:space="preserve">/api/documents/partners/{partnerId}/{docId}</t>
  </si>
  <si>
    <t xml:space="preserve">09 - Documents &gt; Download a private document</t>
  </si>
  <si>
    <t xml:space="preserve">Use Send and Download.</t>
  </si>
  <si>
    <t xml:space="preserve">File bytes returned as an attachment; opens correctly.</t>
  </si>
  <si>
    <t xml:space="preserve">DOC-02</t>
  </si>
  <si>
    <t xml:space="preserve">Agency downloads its own document</t>
  </si>
  <si>
    <t xml:space="preserve">partnerId / docId of its own partner.</t>
  </si>
  <si>
    <t xml:space="preserve">File returned.</t>
  </si>
  <si>
    <t xml:space="preserve">DOC-03</t>
  </si>
  <si>
    <t xml:space="preserve">Agency downloads another agency's document</t>
  </si>
  <si>
    <t xml:space="preserve">Agency (other)</t>
  </si>
  <si>
    <t xml:space="preserve">Login as a second agency; use the first agency's ids.</t>
  </si>
  <si>
    <t xml:space="preserve">Not found - file is NOT returned.</t>
  </si>
  <si>
    <t xml:space="preserve">DOC-04</t>
  </si>
  <si>
    <t xml:space="preserve">Customer downloads an agency document</t>
  </si>
  <si>
    <t xml:space="preserve">Not found / forbidden - file is NOT returned.</t>
  </si>
  <si>
    <t xml:space="preserve">DOC-05</t>
  </si>
  <si>
    <t xml:space="preserve">Download without a token</t>
  </si>
  <si>
    <t xml:space="preserve">SEC-01</t>
  </si>
  <si>
    <t xml:space="preserve">NoSQL operator injection in login</t>
  </si>
  <si>
    <t xml:space="preserve">Body: {"email": {"$gt": ""}, "password": "x"}</t>
  </si>
  <si>
    <t xml:space="preserve">Rejected (422, or 401) - never 200.</t>
  </si>
  <si>
    <t xml:space="preserve">SEC-02</t>
  </si>
  <si>
    <t xml:space="preserve">Rate limit on repeated wrong logins</t>
  </si>
  <si>
    <t xml:space="preserve">Send a wrong-password login repeatedly (use Collection Runner, 20+ iterations).</t>
  </si>
  <si>
    <t xml:space="preserve">Too many requests; Retry-After header present.</t>
  </si>
  <si>
    <t xml:space="preserve">SEC-03</t>
  </si>
  <si>
    <t xml:space="preserve">Request body larger than 100 KB</t>
  </si>
  <si>
    <t xml:space="preserve">Paste a 150 KB string into name.</t>
  </si>
  <si>
    <t xml:space="preserve">Payload too large.</t>
  </si>
  <si>
    <t xml:space="preserve">SEC-04</t>
  </si>
  <si>
    <t xml:space="preserve">Responses never expose secrets</t>
  </si>
  <si>
    <t xml:space="preserve">Inspect responses of login, me, list users.</t>
  </si>
  <si>
    <t xml:space="preserve">No passwordHash, OTP code, token hash or invite token in any response body.</t>
  </si>
  <si>
    <t xml:space="preserve">SEC-05</t>
  </si>
  <si>
    <t xml:space="preserve">Security headers present</t>
  </si>
  <si>
    <t xml:space="preserve">Open the Headers tab of the response.</t>
  </si>
  <si>
    <t xml:space="preserve">Helmet headers present (e.g. X-Content-Type-Options, Strict-Transport-Security).</t>
  </si>
  <si>
    <t xml:space="preserve">Variable</t>
  </si>
  <si>
    <t xml:space="preserve">Where</t>
  </si>
  <si>
    <t xml:space="preserve">Example value</t>
  </si>
  <si>
    <t xml:space="preserve">Used for / note</t>
  </si>
  <si>
    <t xml:space="preserve">baseUrl</t>
  </si>
  <si>
    <t xml:space="preserve">Environment</t>
  </si>
  <si>
    <t xml:space="preserve">http://localhost:5000</t>
  </si>
  <si>
    <t xml:space="preserve">API address.</t>
  </si>
  <si>
    <t xml:space="preserve">adminEmail</t>
  </si>
  <si>
    <t xml:space="preserve">(your ADMIN_SEED_EMAIL)</t>
  </si>
  <si>
    <t xml:space="preserve">Must equal ADMIN_SEED_EMAIL in .env.</t>
  </si>
  <si>
    <t xml:space="preserve">adminPassword</t>
  </si>
  <si>
    <t xml:space="preserve">(your ADMIN_SEED_PASSWORD)</t>
  </si>
  <si>
    <t xml:space="preserve">Must equal ADMIN_SEED_PASSWORD in .env. 8+ chars, upper, lower, number, symbol.</t>
  </si>
  <si>
    <t xml:space="preserve">customerEmail</t>
  </si>
  <si>
    <t xml:space="preserve">customer1@example.com</t>
  </si>
  <si>
    <t xml:space="preserve">Customer account created by the Register test.</t>
  </si>
  <si>
    <t xml:space="preserve">customerPassword</t>
  </si>
  <si>
    <t xml:space="preserve">Str0ng!Pass</t>
  </si>
  <si>
    <t xml:space="preserve">Update after the change-password / reset tests.</t>
  </si>
  <si>
    <t xml:space="preserve">agencyEmail</t>
  </si>
  <si>
    <t xml:space="preserve">agency1@example.com</t>
  </si>
  <si>
    <t xml:space="preserve">Agency account created by the agency register test.</t>
  </si>
  <si>
    <t xml:space="preserve">agencyPassword</t>
  </si>
  <si>
    <t xml:space="preserve">Agency password.</t>
  </si>
  <si>
    <t xml:space="preserve">staffEmail</t>
  </si>
  <si>
    <t xml:space="preserve">staff1@example.com</t>
  </si>
  <si>
    <t xml:space="preserve">Staff account created by the admin.</t>
  </si>
  <si>
    <t xml:space="preserve">staffPassword</t>
  </si>
  <si>
    <t xml:space="preserve">Sara@Pass12</t>
  </si>
  <si>
    <t xml:space="preserve">Password set through setup-account.</t>
  </si>
  <si>
    <t xml:space="preserve">newPassword</t>
  </si>
  <si>
    <t xml:space="preserve">N3w!Passw0rd</t>
  </si>
  <si>
    <t xml:space="preserve">Used by reset / change password tests.</t>
  </si>
  <si>
    <t xml:space="preserve">otp</t>
  </si>
  <si>
    <t xml:space="preserve">123456</t>
  </si>
  <si>
    <t xml:space="preserve">Newest code for the right email, copied from mail.jsonl. Valid 10 minutes, 5 wrong tries allowed.</t>
  </si>
  <si>
    <t xml:space="preserve">inviteToken</t>
  </si>
  <si>
    <t xml:space="preserve">(token from invite link)</t>
  </si>
  <si>
    <t xml:space="preserve">Only the part after ?token= in mail.jsonl.</t>
  </si>
  <si>
    <t xml:space="preserve">clientType</t>
  </si>
  <si>
    <t xml:space="preserve">(empty) or mobile</t>
  </si>
  <si>
    <t xml:space="preserve">Empty = refresh token in cookie. mobile = refresh token in body.</t>
  </si>
  <si>
    <t xml:space="preserve">bearerToken</t>
  </si>
  <si>
    <t xml:space="preserve">Collection (auto)</t>
  </si>
  <si>
    <t xml:space="preserve">Set by the Login requests. Expires after 15 minutes.</t>
  </si>
  <si>
    <t xml:space="preserve">userId / partnerId / docId</t>
  </si>
  <si>
    <t xml:space="preserve">Set when you list users or agencies. Check them before DELETE or status tests.</t>
  </si>
  <si>
    <t xml:space="preserve">mail.jsonl</t>
  </si>
  <si>
    <t xml:space="preserve">Project root</t>
  </si>
  <si>
    <t xml:space="preserve">Every 'sent' email is one JSON line (needs EMAIL_PROVIDER=file and MAIL_OUTBOX_FILE=./mail.jsonl in .env, then restart the server).</t>
  </si>
  <si>
    <t xml:space="preserve">Test files</t>
  </si>
  <si>
    <t xml:space="preserve">Your computer</t>
  </si>
  <si>
    <t xml:space="preserve">license.pdf (&lt;5 MB), notes.txt, big.pdf (&gt;5 MB)</t>
  </si>
  <si>
    <t xml:space="preserve">Valid file, disallowed type, and too-large file for the upload tests.</t>
  </si>
  <si>
    <t xml:space="preserve">Bug ID</t>
  </si>
  <si>
    <t xml:space="preserve">Title</t>
  </si>
  <si>
    <t xml:space="preserve">Severity</t>
  </si>
  <si>
    <t xml:space="preserve">Steps to reproduce</t>
  </si>
  <si>
    <t xml:space="preserve">Expected</t>
  </si>
  <si>
    <t xml:space="preserve">Actual</t>
  </si>
  <si>
    <t xml:space="preserve">Status</t>
  </si>
  <si>
    <t xml:space="preserve">Found on</t>
  </si>
  <si>
    <t xml:space="preserve">EXAMPLE-01</t>
  </si>
  <si>
    <t xml:space="preserve">Wrong password returns 500 (example row - delete me)</t>
  </si>
  <si>
    <t xml:space="preserve">Medium</t>
  </si>
  <si>
    <t xml:space="preserve">1. POST /api/auth/login with a valid email and a wrong password</t>
  </si>
  <si>
    <t xml:space="preserve">401 INVALID_CREDENTIALS</t>
  </si>
  <si>
    <t xml:space="preserve">500 Internal Server Error</t>
  </si>
  <si>
    <t xml:space="preserve">Open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</si>
</sst>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COUNTA('Test Cases'!$A$2:$A$500)</f>
        <v>111</v>
      </c>
    </row>
    <row r="5" customFormat="false" ht="15" hidden="false" customHeight="false" outlineLevel="0" collapsed="false">
      <c r="A5" s="5" t="s">
        <v>3</v>
      </c>
      <c r="B5" s="6" t="n">
        <f aca="false">COUNTIF('Test Cases'!$L$2:$L$500,"Pass")</f>
        <v>0</v>
      </c>
    </row>
    <row r="6" customFormat="false" ht="15" hidden="false" customHeight="false" outlineLevel="0" collapsed="false">
      <c r="A6" s="7" t="s">
        <v>4</v>
      </c>
      <c r="B6" s="8" t="n">
        <f aca="false">COUNTIF('Test Cases'!$L$2:$L$500,"Fail")</f>
        <v>0</v>
      </c>
    </row>
    <row r="7" customFormat="false" ht="15" hidden="false" customHeight="false" outlineLevel="0" collapsed="false">
      <c r="A7" s="9" t="s">
        <v>5</v>
      </c>
      <c r="B7" s="10" t="n">
        <f aca="false">COUNTIF('Test Cases'!$L$2:$L$500,"Blocked")</f>
        <v>0</v>
      </c>
    </row>
    <row r="8" customFormat="false" ht="15" hidden="false" customHeight="false" outlineLevel="0" collapsed="false">
      <c r="A8" s="11" t="s">
        <v>6</v>
      </c>
      <c r="B8" s="12" t="n">
        <f aca="false">COUNTIF('Test Cases'!$A$2:$A$500,"?*")-B5-B6-B7</f>
        <v>111</v>
      </c>
    </row>
    <row r="9" customFormat="false" ht="15" hidden="false" customHeight="false" outlineLevel="0" collapsed="false">
      <c r="A9" s="11" t="s">
        <v>7</v>
      </c>
      <c r="B9" s="12" t="n">
        <f aca="false">B5+B6</f>
        <v>0</v>
      </c>
    </row>
    <row r="10" customFormat="false" ht="15" hidden="false" customHeight="false" outlineLevel="0" collapsed="false">
      <c r="A10" s="11" t="s">
        <v>8</v>
      </c>
      <c r="B10" s="13" t="n">
        <f aca="false">IF(B9=0,0,B5/B9)</f>
        <v>0</v>
      </c>
    </row>
    <row r="11" customFormat="false" ht="15" hidden="false" customHeight="false" outlineLevel="0" collapsed="false">
      <c r="A11" s="11" t="s">
        <v>9</v>
      </c>
      <c r="B11" s="13" t="n">
        <f aca="false">IF(B4=0,0,(B5+B6+B7)/B4)</f>
        <v>0</v>
      </c>
    </row>
    <row r="13" customFormat="false" ht="15" hidden="false" customHeight="false" outlineLevel="0" collapsed="false">
      <c r="A13" s="14" t="s">
        <v>10</v>
      </c>
    </row>
    <row r="14" customFormat="false" ht="15" hidden="false" customHeight="false" outlineLevel="0" collapsed="false">
      <c r="A14" s="15" t="s">
        <v>11</v>
      </c>
      <c r="B14" s="15" t="s">
        <v>12</v>
      </c>
      <c r="C14" s="15" t="s">
        <v>3</v>
      </c>
      <c r="D14" s="15" t="s">
        <v>4</v>
      </c>
      <c r="E14" s="15" t="s">
        <v>5</v>
      </c>
      <c r="F14" s="15" t="s">
        <v>6</v>
      </c>
      <c r="G14" s="15" t="s">
        <v>13</v>
      </c>
    </row>
    <row r="15" customFormat="false" ht="15" hidden="false" customHeight="false" outlineLevel="0" collapsed="false">
      <c r="A15" s="16" t="s">
        <v>14</v>
      </c>
      <c r="B15" s="17" t="n">
        <f aca="false">COUNTIF('Test Cases'!$B$2:$B$500,$A15)</f>
        <v>2</v>
      </c>
      <c r="C15" s="17" t="n">
        <f aca="false">COUNTIFS('Test Cases'!$B$2:$B$500,$A15,'Test Cases'!$L$2:$L$500,"Pass")</f>
        <v>0</v>
      </c>
      <c r="D15" s="17" t="n">
        <f aca="false">COUNTIFS('Test Cases'!$B$2:$B$500,$A15,'Test Cases'!$L$2:$L$500,"Fail")</f>
        <v>0</v>
      </c>
      <c r="E15" s="17" t="n">
        <f aca="false">COUNTIFS('Test Cases'!$B$2:$B$500,$A15,'Test Cases'!$L$2:$L$500,"Blocked")</f>
        <v>0</v>
      </c>
      <c r="F15" s="17" t="n">
        <f aca="false">B15-C15-D15-E15</f>
        <v>2</v>
      </c>
      <c r="G15" s="18" t="n">
        <f aca="false">IF(C15+D15=0,0,C15/(C15+D15))</f>
        <v>0</v>
      </c>
    </row>
    <row r="16" customFormat="false" ht="15" hidden="false" customHeight="false" outlineLevel="0" collapsed="false">
      <c r="A16" s="16" t="s">
        <v>15</v>
      </c>
      <c r="B16" s="17" t="n">
        <f aca="false">COUNTIF('Test Cases'!$B$2:$B$500,$A16)</f>
        <v>8</v>
      </c>
      <c r="C16" s="17" t="n">
        <f aca="false">COUNTIFS('Test Cases'!$B$2:$B$500,$A16,'Test Cases'!$L$2:$L$500,"Pass")</f>
        <v>0</v>
      </c>
      <c r="D16" s="17" t="n">
        <f aca="false">COUNTIFS('Test Cases'!$B$2:$B$500,$A16,'Test Cases'!$L$2:$L$500,"Fail")</f>
        <v>0</v>
      </c>
      <c r="E16" s="17" t="n">
        <f aca="false">COUNTIFS('Test Cases'!$B$2:$B$500,$A16,'Test Cases'!$L$2:$L$500,"Blocked")</f>
        <v>0</v>
      </c>
      <c r="F16" s="17" t="n">
        <f aca="false">B16-C16-D16-E16</f>
        <v>8</v>
      </c>
      <c r="G16" s="18" t="n">
        <f aca="false">IF(C16+D16=0,0,C16/(C16+D16))</f>
        <v>0</v>
      </c>
    </row>
    <row r="17" customFormat="false" ht="15" hidden="false" customHeight="false" outlineLevel="0" collapsed="false">
      <c r="A17" s="16" t="s">
        <v>16</v>
      </c>
      <c r="B17" s="17" t="n">
        <f aca="false">COUNTIF('Test Cases'!$B$2:$B$500,$A17)</f>
        <v>15</v>
      </c>
      <c r="C17" s="17" t="n">
        <f aca="false">COUNTIFS('Test Cases'!$B$2:$B$500,$A17,'Test Cases'!$L$2:$L$500,"Pass")</f>
        <v>0</v>
      </c>
      <c r="D17" s="17" t="n">
        <f aca="false">COUNTIFS('Test Cases'!$B$2:$B$500,$A17,'Test Cases'!$L$2:$L$500,"Fail")</f>
        <v>0</v>
      </c>
      <c r="E17" s="17" t="n">
        <f aca="false">COUNTIFS('Test Cases'!$B$2:$B$500,$A17,'Test Cases'!$L$2:$L$500,"Blocked")</f>
        <v>0</v>
      </c>
      <c r="F17" s="17" t="n">
        <f aca="false">B17-C17-D17-E17</f>
        <v>15</v>
      </c>
      <c r="G17" s="18" t="n">
        <f aca="false">IF(C17+D17=0,0,C17/(C17+D17))</f>
        <v>0</v>
      </c>
    </row>
    <row r="18" customFormat="false" ht="15" hidden="false" customHeight="false" outlineLevel="0" collapsed="false">
      <c r="A18" s="16" t="s">
        <v>17</v>
      </c>
      <c r="B18" s="17" t="n">
        <f aca="false">COUNTIF('Test Cases'!$B$2:$B$500,$A18)</f>
        <v>9</v>
      </c>
      <c r="C18" s="17" t="n">
        <f aca="false">COUNTIFS('Test Cases'!$B$2:$B$500,$A18,'Test Cases'!$L$2:$L$500,"Pass")</f>
        <v>0</v>
      </c>
      <c r="D18" s="17" t="n">
        <f aca="false">COUNTIFS('Test Cases'!$B$2:$B$500,$A18,'Test Cases'!$L$2:$L$500,"Fail")</f>
        <v>0</v>
      </c>
      <c r="E18" s="17" t="n">
        <f aca="false">COUNTIFS('Test Cases'!$B$2:$B$500,$A18,'Test Cases'!$L$2:$L$500,"Blocked")</f>
        <v>0</v>
      </c>
      <c r="F18" s="17" t="n">
        <f aca="false">B18-C18-D18-E18</f>
        <v>9</v>
      </c>
      <c r="G18" s="18" t="n">
        <f aca="false">IF(C18+D18=0,0,C18/(C18+D18))</f>
        <v>0</v>
      </c>
    </row>
    <row r="19" customFormat="false" ht="15" hidden="false" customHeight="false" outlineLevel="0" collapsed="false">
      <c r="A19" s="16" t="s">
        <v>18</v>
      </c>
      <c r="B19" s="17" t="n">
        <f aca="false">COUNTIF('Test Cases'!$B$2:$B$500,$A19)</f>
        <v>7</v>
      </c>
      <c r="C19" s="17" t="n">
        <f aca="false">COUNTIFS('Test Cases'!$B$2:$B$500,$A19,'Test Cases'!$L$2:$L$500,"Pass")</f>
        <v>0</v>
      </c>
      <c r="D19" s="17" t="n">
        <f aca="false">COUNTIFS('Test Cases'!$B$2:$B$500,$A19,'Test Cases'!$L$2:$L$500,"Fail")</f>
        <v>0</v>
      </c>
      <c r="E19" s="17" t="n">
        <f aca="false">COUNTIFS('Test Cases'!$B$2:$B$500,$A19,'Test Cases'!$L$2:$L$500,"Blocked")</f>
        <v>0</v>
      </c>
      <c r="F19" s="17" t="n">
        <f aca="false">B19-C19-D19-E19</f>
        <v>7</v>
      </c>
      <c r="G19" s="18" t="n">
        <f aca="false">IF(C19+D19=0,0,C19/(C19+D19))</f>
        <v>0</v>
      </c>
    </row>
    <row r="20" customFormat="false" ht="15" hidden="false" customHeight="false" outlineLevel="0" collapsed="false">
      <c r="A20" s="16" t="s">
        <v>19</v>
      </c>
      <c r="B20" s="17" t="n">
        <f aca="false">COUNTIF('Test Cases'!$B$2:$B$500,$A20)</f>
        <v>17</v>
      </c>
      <c r="C20" s="17" t="n">
        <f aca="false">COUNTIFS('Test Cases'!$B$2:$B$500,$A20,'Test Cases'!$L$2:$L$500,"Pass")</f>
        <v>0</v>
      </c>
      <c r="D20" s="17" t="n">
        <f aca="false">COUNTIFS('Test Cases'!$B$2:$B$500,$A20,'Test Cases'!$L$2:$L$500,"Fail")</f>
        <v>0</v>
      </c>
      <c r="E20" s="17" t="n">
        <f aca="false">COUNTIFS('Test Cases'!$B$2:$B$500,$A20,'Test Cases'!$L$2:$L$500,"Blocked")</f>
        <v>0</v>
      </c>
      <c r="F20" s="17" t="n">
        <f aca="false">B20-C20-D20-E20</f>
        <v>17</v>
      </c>
      <c r="G20" s="18" t="n">
        <f aca="false">IF(C20+D20=0,0,C20/(C20+D20))</f>
        <v>0</v>
      </c>
    </row>
    <row r="21" customFormat="false" ht="15" hidden="false" customHeight="false" outlineLevel="0" collapsed="false">
      <c r="A21" s="16" t="s">
        <v>20</v>
      </c>
      <c r="B21" s="17" t="n">
        <f aca="false">COUNTIF('Test Cases'!$B$2:$B$500,$A21)</f>
        <v>28</v>
      </c>
      <c r="C21" s="17" t="n">
        <f aca="false">COUNTIFS('Test Cases'!$B$2:$B$500,$A21,'Test Cases'!$L$2:$L$500,"Pass")</f>
        <v>0</v>
      </c>
      <c r="D21" s="17" t="n">
        <f aca="false">COUNTIFS('Test Cases'!$B$2:$B$500,$A21,'Test Cases'!$L$2:$L$500,"Fail")</f>
        <v>0</v>
      </c>
      <c r="E21" s="17" t="n">
        <f aca="false">COUNTIFS('Test Cases'!$B$2:$B$500,$A21,'Test Cases'!$L$2:$L$500,"Blocked")</f>
        <v>0</v>
      </c>
      <c r="F21" s="17" t="n">
        <f aca="false">B21-C21-D21-E21</f>
        <v>28</v>
      </c>
      <c r="G21" s="18" t="n">
        <f aca="false">IF(C21+D21=0,0,C21/(C21+D21))</f>
        <v>0</v>
      </c>
    </row>
    <row r="22" customFormat="false" ht="15" hidden="false" customHeight="false" outlineLevel="0" collapsed="false">
      <c r="A22" s="16" t="s">
        <v>21</v>
      </c>
      <c r="B22" s="17" t="n">
        <f aca="false">COUNTIF('Test Cases'!$B$2:$B$500,$A22)</f>
        <v>8</v>
      </c>
      <c r="C22" s="17" t="n">
        <f aca="false">COUNTIFS('Test Cases'!$B$2:$B$500,$A22,'Test Cases'!$L$2:$L$500,"Pass")</f>
        <v>0</v>
      </c>
      <c r="D22" s="17" t="n">
        <f aca="false">COUNTIFS('Test Cases'!$B$2:$B$500,$A22,'Test Cases'!$L$2:$L$500,"Fail")</f>
        <v>0</v>
      </c>
      <c r="E22" s="17" t="n">
        <f aca="false">COUNTIFS('Test Cases'!$B$2:$B$500,$A22,'Test Cases'!$L$2:$L$500,"Blocked")</f>
        <v>0</v>
      </c>
      <c r="F22" s="17" t="n">
        <f aca="false">B22-C22-D22-E22</f>
        <v>8</v>
      </c>
      <c r="G22" s="18" t="n">
        <f aca="false">IF(C22+D22=0,0,C22/(C22+D22))</f>
        <v>0</v>
      </c>
    </row>
    <row r="23" customFormat="false" ht="15" hidden="false" customHeight="false" outlineLevel="0" collapsed="false">
      <c r="A23" s="16" t="s">
        <v>22</v>
      </c>
      <c r="B23" s="17" t="n">
        <f aca="false">COUNTIF('Test Cases'!$B$2:$B$500,$A23)</f>
        <v>7</v>
      </c>
      <c r="C23" s="17" t="n">
        <f aca="false">COUNTIFS('Test Cases'!$B$2:$B$500,$A23,'Test Cases'!$L$2:$L$500,"Pass")</f>
        <v>0</v>
      </c>
      <c r="D23" s="17" t="n">
        <f aca="false">COUNTIFS('Test Cases'!$B$2:$B$500,$A23,'Test Cases'!$L$2:$L$500,"Fail")</f>
        <v>0</v>
      </c>
      <c r="E23" s="17" t="n">
        <f aca="false">COUNTIFS('Test Cases'!$B$2:$B$500,$A23,'Test Cases'!$L$2:$L$500,"Blocked")</f>
        <v>0</v>
      </c>
      <c r="F23" s="17" t="n">
        <f aca="false">B23-C23-D23-E23</f>
        <v>7</v>
      </c>
      <c r="G23" s="18" t="n">
        <f aca="false">IF(C23+D23=0,0,C23/(C23+D23))</f>
        <v>0</v>
      </c>
    </row>
    <row r="24" customFormat="false" ht="15" hidden="false" customHeight="false" outlineLevel="0" collapsed="false">
      <c r="A24" s="16" t="s">
        <v>23</v>
      </c>
      <c r="B24" s="17" t="n">
        <f aca="false">COUNTIF('Test Cases'!$B$2:$B$500,$A24)</f>
        <v>5</v>
      </c>
      <c r="C24" s="17" t="n">
        <f aca="false">COUNTIFS('Test Cases'!$B$2:$B$500,$A24,'Test Cases'!$L$2:$L$500,"Pass")</f>
        <v>0</v>
      </c>
      <c r="D24" s="17" t="n">
        <f aca="false">COUNTIFS('Test Cases'!$B$2:$B$500,$A24,'Test Cases'!$L$2:$L$500,"Fail")</f>
        <v>0</v>
      </c>
      <c r="E24" s="17" t="n">
        <f aca="false">COUNTIFS('Test Cases'!$B$2:$B$500,$A24,'Test Cases'!$L$2:$L$500,"Blocked")</f>
        <v>0</v>
      </c>
      <c r="F24" s="17" t="n">
        <f aca="false">B24-C24-D24-E24</f>
        <v>5</v>
      </c>
      <c r="G24" s="18" t="n">
        <f aca="false">IF(C24+D24=0,0,C24/(C24+D24))</f>
        <v>0</v>
      </c>
    </row>
    <row r="25" customFormat="false" ht="15" hidden="false" customHeight="false" outlineLevel="0" collapsed="false">
      <c r="A25" s="16" t="s">
        <v>24</v>
      </c>
      <c r="B25" s="17" t="n">
        <f aca="false">COUNTIF('Test Cases'!$B$2:$B$500,$A25)</f>
        <v>5</v>
      </c>
      <c r="C25" s="17" t="n">
        <f aca="false">COUNTIFS('Test Cases'!$B$2:$B$500,$A25,'Test Cases'!$L$2:$L$500,"Pass")</f>
        <v>0</v>
      </c>
      <c r="D25" s="17" t="n">
        <f aca="false">COUNTIFS('Test Cases'!$B$2:$B$500,$A25,'Test Cases'!$L$2:$L$500,"Fail")</f>
        <v>0</v>
      </c>
      <c r="E25" s="17" t="n">
        <f aca="false">COUNTIFS('Test Cases'!$B$2:$B$500,$A25,'Test Cases'!$L$2:$L$500,"Blocked")</f>
        <v>0</v>
      </c>
      <c r="F25" s="17" t="n">
        <f aca="false">B25-C25-D25-E25</f>
        <v>5</v>
      </c>
      <c r="G25" s="18" t="n">
        <f aca="false">IF(C25+D25=0,0,C25/(C25+D25))</f>
        <v>0</v>
      </c>
    </row>
    <row r="26" customFormat="false" ht="15" hidden="false" customHeight="false" outlineLevel="0" collapsed="false">
      <c r="A26" s="3" t="s">
        <v>12</v>
      </c>
      <c r="B26" s="4" t="n">
        <f aca="false">SUM(B15:B25)</f>
        <v>111</v>
      </c>
      <c r="C26" s="4" t="n">
        <f aca="false">SUM(C15:C25)</f>
        <v>0</v>
      </c>
      <c r="D26" s="4" t="n">
        <f aca="false">SUM(D15:D25)</f>
        <v>0</v>
      </c>
      <c r="E26" s="4" t="n">
        <f aca="false">SUM(E15:E25)</f>
        <v>0</v>
      </c>
      <c r="F26" s="4" t="n">
        <f aca="false">SUM(F15:F25)</f>
        <v>111</v>
      </c>
      <c r="G26" s="19" t="n">
        <f aca="false">IF(C26+D26=0,0,C26/(C26+D26))</f>
        <v>0</v>
      </c>
    </row>
    <row r="27" customFormat="false" ht="15" hidden="false" customHeight="false" outlineLevel="0" collapsed="false">
      <c r="A27" s="2" t="s">
        <v>25</v>
      </c>
      <c r="B27" s="2" t="str">
        <f aca="false">IF(B26=B4,"OK","Mismatch - a module name is misspelled")</f>
        <v>OK</v>
      </c>
    </row>
    <row r="29" customFormat="false" ht="15" hidden="false" customHeight="false" outlineLevel="0" collapsed="false">
      <c r="A29" s="14" t="s">
        <v>26</v>
      </c>
    </row>
    <row r="30" customFormat="false" ht="27.75" hidden="false" customHeight="true" outlineLevel="0" collapsed="false">
      <c r="A30" s="20" t="s">
        <v>27</v>
      </c>
      <c r="B30" s="20"/>
      <c r="C30" s="20"/>
      <c r="D30" s="20"/>
      <c r="E30" s="20"/>
      <c r="F30" s="20"/>
      <c r="G30" s="20"/>
    </row>
    <row r="31" customFormat="false" ht="27.75" hidden="false" customHeight="true" outlineLevel="0" collapsed="false">
      <c r="A31" s="20" t="s">
        <v>28</v>
      </c>
      <c r="B31" s="20"/>
      <c r="C31" s="20"/>
      <c r="D31" s="20"/>
      <c r="E31" s="20"/>
      <c r="F31" s="20"/>
      <c r="G31" s="20"/>
    </row>
    <row r="32" customFormat="false" ht="27.75" hidden="false" customHeight="true" outlineLevel="0" collapsed="false">
      <c r="A32" s="20" t="s">
        <v>29</v>
      </c>
      <c r="B32" s="20"/>
      <c r="C32" s="20"/>
      <c r="D32" s="20"/>
      <c r="E32" s="20"/>
      <c r="F32" s="20"/>
      <c r="G32" s="20"/>
    </row>
    <row r="33" customFormat="false" ht="27.75" hidden="false" customHeight="true" outlineLevel="0" collapsed="false">
      <c r="A33" s="20" t="s">
        <v>30</v>
      </c>
      <c r="B33" s="20"/>
      <c r="C33" s="20"/>
      <c r="D33" s="20"/>
      <c r="E33" s="20"/>
      <c r="F33" s="20"/>
      <c r="G33" s="20"/>
    </row>
    <row r="34" customFormat="false" ht="27.75" hidden="false" customHeight="true" outlineLevel="0" collapsed="false">
      <c r="A34" s="20" t="s">
        <v>31</v>
      </c>
      <c r="B34" s="20"/>
      <c r="C34" s="20"/>
      <c r="D34" s="20"/>
      <c r="E34" s="20"/>
      <c r="F34" s="20"/>
      <c r="G34" s="20"/>
    </row>
    <row r="35" customFormat="false" ht="27.75" hidden="false" customHeight="true" outlineLevel="0" collapsed="false">
      <c r="A35" s="20" t="s">
        <v>32</v>
      </c>
      <c r="B35" s="20"/>
      <c r="C35" s="20"/>
      <c r="D35" s="20"/>
      <c r="E35" s="20"/>
      <c r="F35" s="20"/>
      <c r="G35" s="20"/>
    </row>
    <row r="36" customFormat="false" ht="27.75" hidden="false" customHeight="true" outlineLevel="0" collapsed="false">
      <c r="A36" s="20" t="s">
        <v>33</v>
      </c>
      <c r="B36" s="20"/>
      <c r="C36" s="20"/>
      <c r="D36" s="20"/>
      <c r="E36" s="20"/>
      <c r="F36" s="20"/>
      <c r="G36" s="20"/>
    </row>
    <row r="38" customFormat="false" ht="15" hidden="false" customHeight="false" outlineLevel="0" collapsed="false">
      <c r="A38" s="2" t="s">
        <v>34</v>
      </c>
    </row>
  </sheetData>
  <mergeCells count="7">
    <mergeCell ref="A30:G30"/>
    <mergeCell ref="A31:G31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38"/>
    <col collapsed="false" customWidth="true" hidden="false" outlineLevel="0" max="7" min="7" style="0" width="46"/>
    <col collapsed="false" customWidth="true" hidden="false" outlineLevel="0" max="8" min="8" style="0" width="48"/>
    <col collapsed="false" customWidth="true" hidden="false" outlineLevel="0" max="9" min="9" style="0" width="11"/>
    <col collapsed="false" customWidth="true" hidden="false" outlineLevel="0" max="10" min="10" style="0" width="5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32"/>
    <col collapsed="false" customWidth="true" hidden="false" outlineLevel="0" max="14" min="14" style="0" width="13"/>
  </cols>
  <sheetData>
    <row r="1" customFormat="false" ht="31.5" hidden="false" customHeight="true" outlineLevel="0" collapsed="false">
      <c r="A1" s="21" t="s">
        <v>35</v>
      </c>
      <c r="B1" s="21" t="s">
        <v>11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1" t="s">
        <v>46</v>
      </c>
      <c r="N1" s="21" t="s">
        <v>47</v>
      </c>
    </row>
    <row r="2" customFormat="false" ht="15" hidden="false" customHeight="false" outlineLevel="0" collapsed="false">
      <c r="A2" s="22" t="s">
        <v>48</v>
      </c>
      <c r="B2" s="23" t="s">
        <v>14</v>
      </c>
      <c r="C2" s="23" t="s">
        <v>49</v>
      </c>
      <c r="D2" s="23" t="s">
        <v>50</v>
      </c>
      <c r="E2" s="22" t="s">
        <v>51</v>
      </c>
      <c r="F2" s="23" t="s">
        <v>52</v>
      </c>
      <c r="G2" s="23" t="s">
        <v>53</v>
      </c>
      <c r="H2" s="23" t="s">
        <v>54</v>
      </c>
      <c r="I2" s="22" t="n">
        <v>200</v>
      </c>
      <c r="J2" s="23" t="s">
        <v>55</v>
      </c>
      <c r="K2" s="24"/>
      <c r="L2" s="24" t="s">
        <v>6</v>
      </c>
      <c r="M2" s="25"/>
      <c r="N2" s="26"/>
    </row>
    <row r="3" customFormat="false" ht="15" hidden="false" customHeight="false" outlineLevel="0" collapsed="false">
      <c r="A3" s="22" t="s">
        <v>56</v>
      </c>
      <c r="B3" s="23" t="s">
        <v>14</v>
      </c>
      <c r="C3" s="23" t="s">
        <v>57</v>
      </c>
      <c r="D3" s="23" t="s">
        <v>50</v>
      </c>
      <c r="E3" s="22" t="s">
        <v>51</v>
      </c>
      <c r="F3" s="23" t="s">
        <v>58</v>
      </c>
      <c r="G3" s="23" t="s">
        <v>59</v>
      </c>
      <c r="H3" s="23" t="s">
        <v>60</v>
      </c>
      <c r="I3" s="22" t="n">
        <v>200</v>
      </c>
      <c r="J3" s="23" t="s">
        <v>61</v>
      </c>
      <c r="K3" s="24"/>
      <c r="L3" s="24" t="s">
        <v>6</v>
      </c>
      <c r="M3" s="25"/>
      <c r="N3" s="26"/>
    </row>
    <row r="4" customFormat="false" ht="23.85" hidden="false" customHeight="false" outlineLevel="0" collapsed="false">
      <c r="A4" s="22" t="s">
        <v>62</v>
      </c>
      <c r="B4" s="23" t="s">
        <v>15</v>
      </c>
      <c r="C4" s="23" t="s">
        <v>63</v>
      </c>
      <c r="D4" s="23" t="s">
        <v>50</v>
      </c>
      <c r="E4" s="22" t="s">
        <v>64</v>
      </c>
      <c r="F4" s="23" t="s">
        <v>65</v>
      </c>
      <c r="G4" s="23" t="s">
        <v>66</v>
      </c>
      <c r="H4" s="23" t="s">
        <v>67</v>
      </c>
      <c r="I4" s="22" t="n">
        <v>201</v>
      </c>
      <c r="J4" s="23" t="s">
        <v>68</v>
      </c>
      <c r="K4" s="24"/>
      <c r="L4" s="24" t="s">
        <v>6</v>
      </c>
      <c r="M4" s="25"/>
      <c r="N4" s="26"/>
    </row>
    <row r="5" customFormat="false" ht="15" hidden="false" customHeight="false" outlineLevel="0" collapsed="false">
      <c r="A5" s="22" t="s">
        <v>69</v>
      </c>
      <c r="B5" s="23" t="s">
        <v>15</v>
      </c>
      <c r="C5" s="23" t="s">
        <v>70</v>
      </c>
      <c r="D5" s="23" t="s">
        <v>50</v>
      </c>
      <c r="E5" s="22" t="s">
        <v>64</v>
      </c>
      <c r="F5" s="23" t="s">
        <v>65</v>
      </c>
      <c r="G5" s="23" t="s">
        <v>66</v>
      </c>
      <c r="H5" s="23" t="s">
        <v>71</v>
      </c>
      <c r="I5" s="22" t="n">
        <v>409</v>
      </c>
      <c r="J5" s="23" t="s">
        <v>72</v>
      </c>
      <c r="K5" s="24"/>
      <c r="L5" s="24" t="s">
        <v>6</v>
      </c>
      <c r="M5" s="25"/>
      <c r="N5" s="26"/>
    </row>
    <row r="6" customFormat="false" ht="15" hidden="false" customHeight="false" outlineLevel="0" collapsed="false">
      <c r="A6" s="22" t="s">
        <v>73</v>
      </c>
      <c r="B6" s="23" t="s">
        <v>15</v>
      </c>
      <c r="C6" s="23" t="s">
        <v>74</v>
      </c>
      <c r="D6" s="23" t="s">
        <v>50</v>
      </c>
      <c r="E6" s="22" t="s">
        <v>64</v>
      </c>
      <c r="F6" s="23" t="s">
        <v>65</v>
      </c>
      <c r="G6" s="23" t="s">
        <v>66</v>
      </c>
      <c r="H6" s="23" t="s">
        <v>75</v>
      </c>
      <c r="I6" s="22" t="n">
        <v>422</v>
      </c>
      <c r="J6" s="23" t="s">
        <v>76</v>
      </c>
      <c r="K6" s="24"/>
      <c r="L6" s="24" t="s">
        <v>6</v>
      </c>
      <c r="M6" s="25"/>
      <c r="N6" s="26"/>
    </row>
    <row r="7" customFormat="false" ht="15" hidden="false" customHeight="false" outlineLevel="0" collapsed="false">
      <c r="A7" s="22" t="s">
        <v>77</v>
      </c>
      <c r="B7" s="23" t="s">
        <v>15</v>
      </c>
      <c r="C7" s="23" t="s">
        <v>78</v>
      </c>
      <c r="D7" s="23" t="s">
        <v>50</v>
      </c>
      <c r="E7" s="22" t="s">
        <v>64</v>
      </c>
      <c r="F7" s="23" t="s">
        <v>65</v>
      </c>
      <c r="G7" s="23" t="s">
        <v>66</v>
      </c>
      <c r="H7" s="23" t="s">
        <v>79</v>
      </c>
      <c r="I7" s="22" t="n">
        <v>422</v>
      </c>
      <c r="J7" s="23" t="s">
        <v>80</v>
      </c>
      <c r="K7" s="24"/>
      <c r="L7" s="24" t="s">
        <v>6</v>
      </c>
      <c r="M7" s="25"/>
      <c r="N7" s="26"/>
    </row>
    <row r="8" customFormat="false" ht="15" hidden="false" customHeight="false" outlineLevel="0" collapsed="false">
      <c r="A8" s="22" t="s">
        <v>81</v>
      </c>
      <c r="B8" s="23" t="s">
        <v>15</v>
      </c>
      <c r="C8" s="23" t="s">
        <v>82</v>
      </c>
      <c r="D8" s="23" t="s">
        <v>50</v>
      </c>
      <c r="E8" s="22" t="s">
        <v>64</v>
      </c>
      <c r="F8" s="23" t="s">
        <v>83</v>
      </c>
      <c r="G8" s="23" t="s">
        <v>84</v>
      </c>
      <c r="H8" s="23" t="s">
        <v>85</v>
      </c>
      <c r="I8" s="22" t="n">
        <v>403</v>
      </c>
      <c r="J8" s="23" t="s">
        <v>86</v>
      </c>
      <c r="K8" s="24"/>
      <c r="L8" s="24" t="s">
        <v>6</v>
      </c>
      <c r="M8" s="25"/>
      <c r="N8" s="26"/>
    </row>
    <row r="9" customFormat="false" ht="15" hidden="false" customHeight="false" outlineLevel="0" collapsed="false">
      <c r="A9" s="22" t="s">
        <v>87</v>
      </c>
      <c r="B9" s="23" t="s">
        <v>15</v>
      </c>
      <c r="C9" s="23" t="s">
        <v>88</v>
      </c>
      <c r="D9" s="23" t="s">
        <v>50</v>
      </c>
      <c r="E9" s="22" t="s">
        <v>64</v>
      </c>
      <c r="F9" s="23" t="s">
        <v>89</v>
      </c>
      <c r="G9" s="23" t="s">
        <v>90</v>
      </c>
      <c r="H9" s="23" t="s">
        <v>91</v>
      </c>
      <c r="I9" s="22" t="n">
        <v>400</v>
      </c>
      <c r="J9" s="23" t="s">
        <v>92</v>
      </c>
      <c r="K9" s="24"/>
      <c r="L9" s="24" t="s">
        <v>6</v>
      </c>
      <c r="M9" s="25"/>
      <c r="N9" s="26"/>
    </row>
    <row r="10" customFormat="false" ht="15" hidden="false" customHeight="false" outlineLevel="0" collapsed="false">
      <c r="A10" s="22" t="s">
        <v>93</v>
      </c>
      <c r="B10" s="23" t="s">
        <v>15</v>
      </c>
      <c r="C10" s="23" t="s">
        <v>94</v>
      </c>
      <c r="D10" s="23" t="s">
        <v>50</v>
      </c>
      <c r="E10" s="22" t="s">
        <v>64</v>
      </c>
      <c r="F10" s="23" t="s">
        <v>89</v>
      </c>
      <c r="G10" s="23" t="s">
        <v>90</v>
      </c>
      <c r="H10" s="23" t="s">
        <v>95</v>
      </c>
      <c r="I10" s="22" t="n">
        <v>200</v>
      </c>
      <c r="J10" s="23" t="s">
        <v>96</v>
      </c>
      <c r="K10" s="24"/>
      <c r="L10" s="24" t="s">
        <v>6</v>
      </c>
      <c r="M10" s="25"/>
      <c r="N10" s="26"/>
    </row>
    <row r="11" customFormat="false" ht="15" hidden="false" customHeight="false" outlineLevel="0" collapsed="false">
      <c r="A11" s="22" t="s">
        <v>97</v>
      </c>
      <c r="B11" s="23" t="s">
        <v>15</v>
      </c>
      <c r="C11" s="23" t="s">
        <v>98</v>
      </c>
      <c r="D11" s="23" t="s">
        <v>50</v>
      </c>
      <c r="E11" s="22" t="s">
        <v>64</v>
      </c>
      <c r="F11" s="23" t="s">
        <v>99</v>
      </c>
      <c r="G11" s="23" t="s">
        <v>100</v>
      </c>
      <c r="H11" s="23" t="s">
        <v>101</v>
      </c>
      <c r="I11" s="22" t="n">
        <v>200</v>
      </c>
      <c r="J11" s="23" t="s">
        <v>102</v>
      </c>
      <c r="K11" s="24"/>
      <c r="L11" s="24" t="s">
        <v>6</v>
      </c>
      <c r="M11" s="25"/>
      <c r="N11" s="26"/>
    </row>
    <row r="12" customFormat="false" ht="23.85" hidden="false" customHeight="false" outlineLevel="0" collapsed="false">
      <c r="A12" s="22" t="s">
        <v>103</v>
      </c>
      <c r="B12" s="23" t="s">
        <v>16</v>
      </c>
      <c r="C12" s="23" t="s">
        <v>104</v>
      </c>
      <c r="D12" s="23" t="s">
        <v>50</v>
      </c>
      <c r="E12" s="22" t="s">
        <v>64</v>
      </c>
      <c r="F12" s="23" t="s">
        <v>83</v>
      </c>
      <c r="G12" s="23" t="s">
        <v>105</v>
      </c>
      <c r="H12" s="23" t="s">
        <v>106</v>
      </c>
      <c r="I12" s="22" t="n">
        <v>200</v>
      </c>
      <c r="J12" s="23" t="s">
        <v>107</v>
      </c>
      <c r="K12" s="24"/>
      <c r="L12" s="24" t="s">
        <v>6</v>
      </c>
      <c r="M12" s="25"/>
      <c r="N12" s="26"/>
    </row>
    <row r="13" customFormat="false" ht="15" hidden="false" customHeight="false" outlineLevel="0" collapsed="false">
      <c r="A13" s="22" t="s">
        <v>108</v>
      </c>
      <c r="B13" s="23" t="s">
        <v>16</v>
      </c>
      <c r="C13" s="23" t="s">
        <v>109</v>
      </c>
      <c r="D13" s="23" t="s">
        <v>50</v>
      </c>
      <c r="E13" s="22" t="s">
        <v>64</v>
      </c>
      <c r="F13" s="23" t="s">
        <v>83</v>
      </c>
      <c r="G13" s="23" t="s">
        <v>110</v>
      </c>
      <c r="H13" s="23" t="s">
        <v>111</v>
      </c>
      <c r="I13" s="22" t="n">
        <v>200</v>
      </c>
      <c r="J13" s="23" t="s">
        <v>112</v>
      </c>
      <c r="K13" s="24"/>
      <c r="L13" s="24" t="s">
        <v>6</v>
      </c>
      <c r="M13" s="25"/>
      <c r="N13" s="26"/>
    </row>
    <row r="14" customFormat="false" ht="15" hidden="false" customHeight="false" outlineLevel="0" collapsed="false">
      <c r="A14" s="22" t="s">
        <v>113</v>
      </c>
      <c r="B14" s="23" t="s">
        <v>16</v>
      </c>
      <c r="C14" s="23" t="s">
        <v>114</v>
      </c>
      <c r="D14" s="23" t="s">
        <v>50</v>
      </c>
      <c r="E14" s="22" t="s">
        <v>64</v>
      </c>
      <c r="F14" s="23" t="s">
        <v>83</v>
      </c>
      <c r="G14" s="23" t="s">
        <v>84</v>
      </c>
      <c r="H14" s="23" t="s">
        <v>115</v>
      </c>
      <c r="I14" s="22" t="n">
        <v>401</v>
      </c>
      <c r="J14" s="23" t="s">
        <v>116</v>
      </c>
      <c r="K14" s="24"/>
      <c r="L14" s="24" t="s">
        <v>6</v>
      </c>
      <c r="M14" s="25"/>
      <c r="N14" s="26"/>
    </row>
    <row r="15" customFormat="false" ht="23.85" hidden="false" customHeight="false" outlineLevel="0" collapsed="false">
      <c r="A15" s="22" t="s">
        <v>117</v>
      </c>
      <c r="B15" s="23" t="s">
        <v>16</v>
      </c>
      <c r="C15" s="23" t="s">
        <v>118</v>
      </c>
      <c r="D15" s="23" t="s">
        <v>50</v>
      </c>
      <c r="E15" s="22" t="s">
        <v>64</v>
      </c>
      <c r="F15" s="23" t="s">
        <v>83</v>
      </c>
      <c r="G15" s="23" t="s">
        <v>84</v>
      </c>
      <c r="H15" s="23" t="s">
        <v>119</v>
      </c>
      <c r="I15" s="22" t="n">
        <v>401</v>
      </c>
      <c r="J15" s="23" t="s">
        <v>120</v>
      </c>
      <c r="K15" s="24"/>
      <c r="L15" s="24" t="s">
        <v>6</v>
      </c>
      <c r="M15" s="25"/>
      <c r="N15" s="26"/>
    </row>
    <row r="16" customFormat="false" ht="15" hidden="false" customHeight="false" outlineLevel="0" collapsed="false">
      <c r="A16" s="22" t="s">
        <v>121</v>
      </c>
      <c r="B16" s="23" t="s">
        <v>16</v>
      </c>
      <c r="C16" s="23" t="s">
        <v>122</v>
      </c>
      <c r="D16" s="23" t="s">
        <v>50</v>
      </c>
      <c r="E16" s="22" t="s">
        <v>64</v>
      </c>
      <c r="F16" s="23" t="s">
        <v>83</v>
      </c>
      <c r="G16" s="23" t="s">
        <v>84</v>
      </c>
      <c r="H16" s="23" t="s">
        <v>123</v>
      </c>
      <c r="I16" s="22" t="n">
        <v>422</v>
      </c>
      <c r="J16" s="23" t="s">
        <v>80</v>
      </c>
      <c r="K16" s="24"/>
      <c r="L16" s="24" t="s">
        <v>6</v>
      </c>
      <c r="M16" s="25"/>
      <c r="N16" s="26"/>
    </row>
    <row r="17" customFormat="false" ht="23.85" hidden="false" customHeight="false" outlineLevel="0" collapsed="false">
      <c r="A17" s="22" t="s">
        <v>124</v>
      </c>
      <c r="B17" s="23" t="s">
        <v>16</v>
      </c>
      <c r="C17" s="23" t="s">
        <v>125</v>
      </c>
      <c r="D17" s="23" t="s">
        <v>50</v>
      </c>
      <c r="E17" s="22" t="s">
        <v>64</v>
      </c>
      <c r="F17" s="23" t="s">
        <v>83</v>
      </c>
      <c r="G17" s="23" t="s">
        <v>84</v>
      </c>
      <c r="H17" s="23" t="s">
        <v>126</v>
      </c>
      <c r="I17" s="22" t="n">
        <v>200</v>
      </c>
      <c r="J17" s="23" t="s">
        <v>127</v>
      </c>
      <c r="K17" s="24"/>
      <c r="L17" s="24" t="s">
        <v>6</v>
      </c>
      <c r="M17" s="25"/>
      <c r="N17" s="26"/>
    </row>
    <row r="18" customFormat="false" ht="15" hidden="false" customHeight="false" outlineLevel="0" collapsed="false">
      <c r="A18" s="22" t="s">
        <v>128</v>
      </c>
      <c r="B18" s="23" t="s">
        <v>16</v>
      </c>
      <c r="C18" s="23" t="s">
        <v>129</v>
      </c>
      <c r="D18" s="23" t="s">
        <v>50</v>
      </c>
      <c r="E18" s="22" t="s">
        <v>64</v>
      </c>
      <c r="F18" s="23" t="s">
        <v>83</v>
      </c>
      <c r="G18" s="23" t="s">
        <v>84</v>
      </c>
      <c r="H18" s="23" t="s">
        <v>130</v>
      </c>
      <c r="I18" s="22" t="n">
        <v>200</v>
      </c>
      <c r="J18" s="23" t="s">
        <v>131</v>
      </c>
      <c r="K18" s="24"/>
      <c r="L18" s="24" t="s">
        <v>6</v>
      </c>
      <c r="M18" s="25"/>
      <c r="N18" s="26"/>
    </row>
    <row r="19" customFormat="false" ht="15" hidden="false" customHeight="false" outlineLevel="0" collapsed="false">
      <c r="A19" s="22" t="s">
        <v>132</v>
      </c>
      <c r="B19" s="23" t="s">
        <v>16</v>
      </c>
      <c r="C19" s="23" t="s">
        <v>133</v>
      </c>
      <c r="D19" s="23" t="s">
        <v>134</v>
      </c>
      <c r="E19" s="22" t="s">
        <v>51</v>
      </c>
      <c r="F19" s="23" t="s">
        <v>135</v>
      </c>
      <c r="G19" s="23" t="s">
        <v>136</v>
      </c>
      <c r="H19" s="23" t="s">
        <v>137</v>
      </c>
      <c r="I19" s="22" t="n">
        <v>200</v>
      </c>
      <c r="J19" s="23" t="s">
        <v>138</v>
      </c>
      <c r="K19" s="24"/>
      <c r="L19" s="24" t="s">
        <v>6</v>
      </c>
      <c r="M19" s="25"/>
      <c r="N19" s="26"/>
    </row>
    <row r="20" customFormat="false" ht="15" hidden="false" customHeight="false" outlineLevel="0" collapsed="false">
      <c r="A20" s="22" t="s">
        <v>139</v>
      </c>
      <c r="B20" s="23" t="s">
        <v>16</v>
      </c>
      <c r="C20" s="23" t="s">
        <v>140</v>
      </c>
      <c r="D20" s="23" t="s">
        <v>50</v>
      </c>
      <c r="E20" s="22" t="s">
        <v>51</v>
      </c>
      <c r="F20" s="23" t="s">
        <v>135</v>
      </c>
      <c r="G20" s="23" t="s">
        <v>136</v>
      </c>
      <c r="H20" s="23" t="s">
        <v>141</v>
      </c>
      <c r="I20" s="22" t="n">
        <v>401</v>
      </c>
      <c r="J20" s="23" t="s">
        <v>142</v>
      </c>
      <c r="K20" s="24"/>
      <c r="L20" s="24" t="s">
        <v>6</v>
      </c>
      <c r="M20" s="25"/>
      <c r="N20" s="26"/>
    </row>
    <row r="21" customFormat="false" ht="15" hidden="false" customHeight="false" outlineLevel="0" collapsed="false">
      <c r="A21" s="22" t="s">
        <v>143</v>
      </c>
      <c r="B21" s="23" t="s">
        <v>16</v>
      </c>
      <c r="C21" s="23" t="s">
        <v>144</v>
      </c>
      <c r="D21" s="23" t="s">
        <v>50</v>
      </c>
      <c r="E21" s="22" t="s">
        <v>51</v>
      </c>
      <c r="F21" s="23" t="s">
        <v>135</v>
      </c>
      <c r="G21" s="23" t="s">
        <v>136</v>
      </c>
      <c r="H21" s="23" t="s">
        <v>145</v>
      </c>
      <c r="I21" s="22" t="n">
        <v>401</v>
      </c>
      <c r="J21" s="23" t="s">
        <v>146</v>
      </c>
      <c r="K21" s="24"/>
      <c r="L21" s="24" t="s">
        <v>6</v>
      </c>
      <c r="M21" s="25"/>
      <c r="N21" s="26"/>
    </row>
    <row r="22" customFormat="false" ht="15" hidden="false" customHeight="false" outlineLevel="0" collapsed="false">
      <c r="A22" s="22" t="s">
        <v>147</v>
      </c>
      <c r="B22" s="23" t="s">
        <v>16</v>
      </c>
      <c r="C22" s="23" t="s">
        <v>148</v>
      </c>
      <c r="D22" s="23" t="s">
        <v>134</v>
      </c>
      <c r="E22" s="22" t="s">
        <v>64</v>
      </c>
      <c r="F22" s="23" t="s">
        <v>149</v>
      </c>
      <c r="G22" s="23" t="s">
        <v>150</v>
      </c>
      <c r="H22" s="23" t="s">
        <v>151</v>
      </c>
      <c r="I22" s="22" t="n">
        <v>200</v>
      </c>
      <c r="J22" s="23" t="s">
        <v>152</v>
      </c>
      <c r="K22" s="24"/>
      <c r="L22" s="24" t="s">
        <v>6</v>
      </c>
      <c r="M22" s="25"/>
      <c r="N22" s="26"/>
    </row>
    <row r="23" customFormat="false" ht="23.85" hidden="false" customHeight="false" outlineLevel="0" collapsed="false">
      <c r="A23" s="22" t="s">
        <v>153</v>
      </c>
      <c r="B23" s="23" t="s">
        <v>16</v>
      </c>
      <c r="C23" s="23" t="s">
        <v>154</v>
      </c>
      <c r="D23" s="23" t="s">
        <v>134</v>
      </c>
      <c r="E23" s="22" t="s">
        <v>64</v>
      </c>
      <c r="F23" s="23" t="s">
        <v>149</v>
      </c>
      <c r="G23" s="23" t="s">
        <v>150</v>
      </c>
      <c r="H23" s="23" t="s">
        <v>155</v>
      </c>
      <c r="I23" s="22" t="n">
        <v>401</v>
      </c>
      <c r="J23" s="23" t="s">
        <v>156</v>
      </c>
      <c r="K23" s="24"/>
      <c r="L23" s="24" t="s">
        <v>6</v>
      </c>
      <c r="M23" s="25"/>
      <c r="N23" s="26"/>
    </row>
    <row r="24" customFormat="false" ht="15" hidden="false" customHeight="false" outlineLevel="0" collapsed="false">
      <c r="A24" s="22" t="s">
        <v>157</v>
      </c>
      <c r="B24" s="23" t="s">
        <v>16</v>
      </c>
      <c r="C24" s="23" t="s">
        <v>158</v>
      </c>
      <c r="D24" s="23" t="s">
        <v>134</v>
      </c>
      <c r="E24" s="22" t="s">
        <v>64</v>
      </c>
      <c r="F24" s="23" t="s">
        <v>159</v>
      </c>
      <c r="G24" s="23" t="s">
        <v>160</v>
      </c>
      <c r="H24" s="23" t="s">
        <v>161</v>
      </c>
      <c r="I24" s="22" t="n">
        <v>200</v>
      </c>
      <c r="J24" s="23" t="s">
        <v>162</v>
      </c>
      <c r="K24" s="24"/>
      <c r="L24" s="24" t="s">
        <v>6</v>
      </c>
      <c r="M24" s="25"/>
      <c r="N24" s="26"/>
    </row>
    <row r="25" customFormat="false" ht="15" hidden="false" customHeight="false" outlineLevel="0" collapsed="false">
      <c r="A25" s="22" t="s">
        <v>163</v>
      </c>
      <c r="B25" s="23" t="s">
        <v>16</v>
      </c>
      <c r="C25" s="23" t="s">
        <v>164</v>
      </c>
      <c r="D25" s="23" t="s">
        <v>134</v>
      </c>
      <c r="E25" s="22" t="s">
        <v>64</v>
      </c>
      <c r="F25" s="23" t="s">
        <v>149</v>
      </c>
      <c r="G25" s="23" t="s">
        <v>150</v>
      </c>
      <c r="H25" s="23" t="s">
        <v>165</v>
      </c>
      <c r="I25" s="22" t="n">
        <v>401</v>
      </c>
      <c r="J25" s="23" t="s">
        <v>166</v>
      </c>
      <c r="K25" s="24"/>
      <c r="L25" s="24" t="s">
        <v>6</v>
      </c>
      <c r="M25" s="25"/>
      <c r="N25" s="26"/>
    </row>
    <row r="26" customFormat="false" ht="15" hidden="false" customHeight="false" outlineLevel="0" collapsed="false">
      <c r="A26" s="22" t="s">
        <v>167</v>
      </c>
      <c r="B26" s="23" t="s">
        <v>16</v>
      </c>
      <c r="C26" s="23" t="s">
        <v>168</v>
      </c>
      <c r="D26" s="23" t="s">
        <v>134</v>
      </c>
      <c r="E26" s="22" t="s">
        <v>51</v>
      </c>
      <c r="F26" s="23" t="s">
        <v>135</v>
      </c>
      <c r="G26" s="23" t="s">
        <v>136</v>
      </c>
      <c r="H26" s="23" t="s">
        <v>169</v>
      </c>
      <c r="I26" s="22" t="n">
        <v>401</v>
      </c>
      <c r="J26" s="23" t="s">
        <v>170</v>
      </c>
      <c r="K26" s="24"/>
      <c r="L26" s="24" t="s">
        <v>6</v>
      </c>
      <c r="M26" s="25"/>
      <c r="N26" s="26"/>
    </row>
    <row r="27" customFormat="false" ht="15" hidden="false" customHeight="false" outlineLevel="0" collapsed="false">
      <c r="A27" s="22" t="s">
        <v>171</v>
      </c>
      <c r="B27" s="23" t="s">
        <v>17</v>
      </c>
      <c r="C27" s="23" t="s">
        <v>172</v>
      </c>
      <c r="D27" s="23" t="s">
        <v>50</v>
      </c>
      <c r="E27" s="22" t="s">
        <v>64</v>
      </c>
      <c r="F27" s="23" t="s">
        <v>173</v>
      </c>
      <c r="G27" s="23" t="s">
        <v>174</v>
      </c>
      <c r="H27" s="23" t="s">
        <v>175</v>
      </c>
      <c r="I27" s="22" t="n">
        <v>200</v>
      </c>
      <c r="J27" s="23" t="s">
        <v>176</v>
      </c>
      <c r="K27" s="24"/>
      <c r="L27" s="24" t="s">
        <v>6</v>
      </c>
      <c r="M27" s="25"/>
      <c r="N27" s="26"/>
    </row>
    <row r="28" customFormat="false" ht="23.85" hidden="false" customHeight="false" outlineLevel="0" collapsed="false">
      <c r="A28" s="22" t="s">
        <v>177</v>
      </c>
      <c r="B28" s="23" t="s">
        <v>17</v>
      </c>
      <c r="C28" s="23" t="s">
        <v>178</v>
      </c>
      <c r="D28" s="23" t="s">
        <v>50</v>
      </c>
      <c r="E28" s="22" t="s">
        <v>64</v>
      </c>
      <c r="F28" s="23" t="s">
        <v>173</v>
      </c>
      <c r="G28" s="23" t="s">
        <v>174</v>
      </c>
      <c r="H28" s="23" t="s">
        <v>119</v>
      </c>
      <c r="I28" s="22" t="n">
        <v>200</v>
      </c>
      <c r="J28" s="23" t="s">
        <v>179</v>
      </c>
      <c r="K28" s="24"/>
      <c r="L28" s="24" t="s">
        <v>6</v>
      </c>
      <c r="M28" s="25"/>
      <c r="N28" s="26"/>
    </row>
    <row r="29" customFormat="false" ht="15" hidden="false" customHeight="false" outlineLevel="0" collapsed="false">
      <c r="A29" s="22" t="s">
        <v>180</v>
      </c>
      <c r="B29" s="23" t="s">
        <v>17</v>
      </c>
      <c r="C29" s="23" t="s">
        <v>181</v>
      </c>
      <c r="D29" s="23" t="s">
        <v>50</v>
      </c>
      <c r="E29" s="22" t="s">
        <v>64</v>
      </c>
      <c r="F29" s="23" t="s">
        <v>182</v>
      </c>
      <c r="G29" s="23" t="s">
        <v>183</v>
      </c>
      <c r="H29" s="23" t="s">
        <v>184</v>
      </c>
      <c r="I29" s="22" t="n">
        <v>400</v>
      </c>
      <c r="J29" s="23" t="s">
        <v>92</v>
      </c>
      <c r="K29" s="24"/>
      <c r="L29" s="24" t="s">
        <v>6</v>
      </c>
      <c r="M29" s="25"/>
      <c r="N29" s="26"/>
    </row>
    <row r="30" customFormat="false" ht="15" hidden="false" customHeight="false" outlineLevel="0" collapsed="false">
      <c r="A30" s="22" t="s">
        <v>185</v>
      </c>
      <c r="B30" s="23" t="s">
        <v>17</v>
      </c>
      <c r="C30" s="23" t="s">
        <v>186</v>
      </c>
      <c r="D30" s="23" t="s">
        <v>50</v>
      </c>
      <c r="E30" s="22" t="s">
        <v>64</v>
      </c>
      <c r="F30" s="23" t="s">
        <v>182</v>
      </c>
      <c r="G30" s="23" t="s">
        <v>183</v>
      </c>
      <c r="H30" s="23" t="s">
        <v>187</v>
      </c>
      <c r="I30" s="22" t="n">
        <v>200</v>
      </c>
      <c r="J30" s="23" t="s">
        <v>188</v>
      </c>
      <c r="K30" s="24"/>
      <c r="L30" s="24" t="s">
        <v>6</v>
      </c>
      <c r="M30" s="25"/>
      <c r="N30" s="26"/>
    </row>
    <row r="31" customFormat="false" ht="23.85" hidden="false" customHeight="false" outlineLevel="0" collapsed="false">
      <c r="A31" s="22" t="s">
        <v>189</v>
      </c>
      <c r="B31" s="23" t="s">
        <v>17</v>
      </c>
      <c r="C31" s="23" t="s">
        <v>190</v>
      </c>
      <c r="D31" s="23" t="s">
        <v>50</v>
      </c>
      <c r="E31" s="22" t="s">
        <v>64</v>
      </c>
      <c r="F31" s="23" t="s">
        <v>191</v>
      </c>
      <c r="G31" s="23" t="s">
        <v>192</v>
      </c>
      <c r="H31" s="23" t="s">
        <v>193</v>
      </c>
      <c r="I31" s="22" t="n">
        <v>200</v>
      </c>
      <c r="J31" s="23" t="s">
        <v>194</v>
      </c>
      <c r="K31" s="24"/>
      <c r="L31" s="24" t="s">
        <v>6</v>
      </c>
      <c r="M31" s="25"/>
      <c r="N31" s="26"/>
    </row>
    <row r="32" customFormat="false" ht="15" hidden="false" customHeight="false" outlineLevel="0" collapsed="false">
      <c r="A32" s="22" t="s">
        <v>195</v>
      </c>
      <c r="B32" s="23" t="s">
        <v>17</v>
      </c>
      <c r="C32" s="23" t="s">
        <v>196</v>
      </c>
      <c r="D32" s="23" t="s">
        <v>50</v>
      </c>
      <c r="E32" s="22" t="s">
        <v>64</v>
      </c>
      <c r="F32" s="23" t="s">
        <v>191</v>
      </c>
      <c r="G32" s="23" t="s">
        <v>192</v>
      </c>
      <c r="H32" s="23" t="s">
        <v>197</v>
      </c>
      <c r="I32" s="22" t="n">
        <v>400</v>
      </c>
      <c r="J32" s="23" t="s">
        <v>198</v>
      </c>
      <c r="K32" s="24"/>
      <c r="L32" s="24" t="s">
        <v>6</v>
      </c>
      <c r="M32" s="25"/>
      <c r="N32" s="26"/>
    </row>
    <row r="33" customFormat="false" ht="23.85" hidden="false" customHeight="false" outlineLevel="0" collapsed="false">
      <c r="A33" s="22" t="s">
        <v>199</v>
      </c>
      <c r="B33" s="23" t="s">
        <v>17</v>
      </c>
      <c r="C33" s="23" t="s">
        <v>200</v>
      </c>
      <c r="D33" s="23" t="s">
        <v>201</v>
      </c>
      <c r="E33" s="22" t="s">
        <v>64</v>
      </c>
      <c r="F33" s="23" t="s">
        <v>202</v>
      </c>
      <c r="G33" s="23" t="s">
        <v>203</v>
      </c>
      <c r="H33" s="23" t="s">
        <v>204</v>
      </c>
      <c r="I33" s="22" t="n">
        <v>200</v>
      </c>
      <c r="J33" s="23" t="s">
        <v>205</v>
      </c>
      <c r="K33" s="24"/>
      <c r="L33" s="24" t="s">
        <v>6</v>
      </c>
      <c r="M33" s="25"/>
      <c r="N33" s="26"/>
    </row>
    <row r="34" customFormat="false" ht="15" hidden="false" customHeight="false" outlineLevel="0" collapsed="false">
      <c r="A34" s="22" t="s">
        <v>206</v>
      </c>
      <c r="B34" s="23" t="s">
        <v>17</v>
      </c>
      <c r="C34" s="23" t="s">
        <v>207</v>
      </c>
      <c r="D34" s="23" t="s">
        <v>201</v>
      </c>
      <c r="E34" s="22" t="s">
        <v>64</v>
      </c>
      <c r="F34" s="23" t="s">
        <v>202</v>
      </c>
      <c r="G34" s="23" t="s">
        <v>203</v>
      </c>
      <c r="H34" s="23" t="s">
        <v>208</v>
      </c>
      <c r="I34" s="22" t="n">
        <v>401</v>
      </c>
      <c r="J34" s="23" t="s">
        <v>209</v>
      </c>
      <c r="K34" s="24"/>
      <c r="L34" s="24" t="s">
        <v>6</v>
      </c>
      <c r="M34" s="25"/>
      <c r="N34" s="26"/>
    </row>
    <row r="35" customFormat="false" ht="15" hidden="false" customHeight="false" outlineLevel="0" collapsed="false">
      <c r="A35" s="22" t="s">
        <v>210</v>
      </c>
      <c r="B35" s="23" t="s">
        <v>17</v>
      </c>
      <c r="C35" s="23" t="s">
        <v>211</v>
      </c>
      <c r="D35" s="23" t="s">
        <v>201</v>
      </c>
      <c r="E35" s="22" t="s">
        <v>64</v>
      </c>
      <c r="F35" s="23" t="s">
        <v>202</v>
      </c>
      <c r="G35" s="23" t="s">
        <v>203</v>
      </c>
      <c r="H35" s="23" t="s">
        <v>212</v>
      </c>
      <c r="I35" s="22" t="n">
        <v>422</v>
      </c>
      <c r="J35" s="23" t="s">
        <v>213</v>
      </c>
      <c r="K35" s="24"/>
      <c r="L35" s="24" t="s">
        <v>6</v>
      </c>
      <c r="M35" s="25"/>
      <c r="N35" s="26"/>
    </row>
    <row r="36" customFormat="false" ht="15" hidden="false" customHeight="false" outlineLevel="0" collapsed="false">
      <c r="A36" s="22" t="s">
        <v>214</v>
      </c>
      <c r="B36" s="23" t="s">
        <v>18</v>
      </c>
      <c r="C36" s="23" t="s">
        <v>215</v>
      </c>
      <c r="D36" s="23" t="s">
        <v>201</v>
      </c>
      <c r="E36" s="22" t="s">
        <v>51</v>
      </c>
      <c r="F36" s="23" t="s">
        <v>216</v>
      </c>
      <c r="G36" s="23" t="s">
        <v>217</v>
      </c>
      <c r="H36" s="23"/>
      <c r="I36" s="22" t="n">
        <v>200</v>
      </c>
      <c r="J36" s="23" t="s">
        <v>218</v>
      </c>
      <c r="K36" s="24"/>
      <c r="L36" s="24" t="s">
        <v>6</v>
      </c>
      <c r="M36" s="25"/>
      <c r="N36" s="26"/>
    </row>
    <row r="37" customFormat="false" ht="15" hidden="false" customHeight="false" outlineLevel="0" collapsed="false">
      <c r="A37" s="22" t="s">
        <v>219</v>
      </c>
      <c r="B37" s="23" t="s">
        <v>18</v>
      </c>
      <c r="C37" s="23" t="s">
        <v>220</v>
      </c>
      <c r="D37" s="23" t="s">
        <v>201</v>
      </c>
      <c r="E37" s="22" t="s">
        <v>221</v>
      </c>
      <c r="F37" s="23" t="s">
        <v>216</v>
      </c>
      <c r="G37" s="23" t="s">
        <v>222</v>
      </c>
      <c r="H37" s="23" t="s">
        <v>223</v>
      </c>
      <c r="I37" s="22" t="n">
        <v>200</v>
      </c>
      <c r="J37" s="23" t="s">
        <v>224</v>
      </c>
      <c r="K37" s="24"/>
      <c r="L37" s="24" t="s">
        <v>6</v>
      </c>
      <c r="M37" s="25"/>
      <c r="N37" s="26"/>
    </row>
    <row r="38" customFormat="false" ht="15" hidden="false" customHeight="false" outlineLevel="0" collapsed="false">
      <c r="A38" s="22" t="s">
        <v>225</v>
      </c>
      <c r="B38" s="23" t="s">
        <v>18</v>
      </c>
      <c r="C38" s="23" t="s">
        <v>226</v>
      </c>
      <c r="D38" s="23" t="s">
        <v>201</v>
      </c>
      <c r="E38" s="22" t="s">
        <v>221</v>
      </c>
      <c r="F38" s="23" t="s">
        <v>216</v>
      </c>
      <c r="G38" s="23" t="s">
        <v>222</v>
      </c>
      <c r="H38" s="23" t="s">
        <v>227</v>
      </c>
      <c r="I38" s="22" t="n">
        <v>422</v>
      </c>
      <c r="J38" s="23" t="s">
        <v>213</v>
      </c>
      <c r="K38" s="24"/>
      <c r="L38" s="24" t="s">
        <v>6</v>
      </c>
      <c r="M38" s="25"/>
      <c r="N38" s="26"/>
    </row>
    <row r="39" customFormat="false" ht="15" hidden="false" customHeight="false" outlineLevel="0" collapsed="false">
      <c r="A39" s="22" t="s">
        <v>228</v>
      </c>
      <c r="B39" s="23" t="s">
        <v>18</v>
      </c>
      <c r="C39" s="23" t="s">
        <v>229</v>
      </c>
      <c r="D39" s="23" t="s">
        <v>50</v>
      </c>
      <c r="E39" s="22" t="s">
        <v>51</v>
      </c>
      <c r="F39" s="23" t="s">
        <v>216</v>
      </c>
      <c r="G39" s="23" t="s">
        <v>217</v>
      </c>
      <c r="H39" s="23" t="s">
        <v>230</v>
      </c>
      <c r="I39" s="22" t="n">
        <v>401</v>
      </c>
      <c r="J39" s="23" t="s">
        <v>146</v>
      </c>
      <c r="K39" s="24"/>
      <c r="L39" s="24" t="s">
        <v>6</v>
      </c>
      <c r="M39" s="25"/>
      <c r="N39" s="26"/>
    </row>
    <row r="40" customFormat="false" ht="15" hidden="false" customHeight="false" outlineLevel="0" collapsed="false">
      <c r="A40" s="22" t="s">
        <v>231</v>
      </c>
      <c r="B40" s="23" t="s">
        <v>18</v>
      </c>
      <c r="C40" s="23" t="s">
        <v>232</v>
      </c>
      <c r="D40" s="23" t="s">
        <v>201</v>
      </c>
      <c r="E40" s="22" t="s">
        <v>51</v>
      </c>
      <c r="F40" s="23" t="s">
        <v>233</v>
      </c>
      <c r="G40" s="23" t="s">
        <v>234</v>
      </c>
      <c r="H40" s="23" t="s">
        <v>204</v>
      </c>
      <c r="I40" s="22" t="n">
        <v>403</v>
      </c>
      <c r="J40" s="23" t="s">
        <v>235</v>
      </c>
      <c r="K40" s="24"/>
      <c r="L40" s="24" t="s">
        <v>6</v>
      </c>
      <c r="M40" s="25"/>
      <c r="N40" s="26"/>
    </row>
    <row r="41" customFormat="false" ht="15" hidden="false" customHeight="false" outlineLevel="0" collapsed="false">
      <c r="A41" s="22" t="s">
        <v>236</v>
      </c>
      <c r="B41" s="23" t="s">
        <v>18</v>
      </c>
      <c r="C41" s="23" t="s">
        <v>237</v>
      </c>
      <c r="D41" s="23" t="s">
        <v>201</v>
      </c>
      <c r="E41" s="22" t="s">
        <v>51</v>
      </c>
      <c r="F41" s="23" t="s">
        <v>238</v>
      </c>
      <c r="G41" s="23" t="s">
        <v>239</v>
      </c>
      <c r="H41" s="23" t="s">
        <v>204</v>
      </c>
      <c r="I41" s="22" t="n">
        <v>403</v>
      </c>
      <c r="J41" s="23" t="s">
        <v>240</v>
      </c>
      <c r="K41" s="24"/>
      <c r="L41" s="24" t="s">
        <v>6</v>
      </c>
      <c r="M41" s="25"/>
      <c r="N41" s="26"/>
    </row>
    <row r="42" customFormat="false" ht="15" hidden="false" customHeight="false" outlineLevel="0" collapsed="false">
      <c r="A42" s="22" t="s">
        <v>241</v>
      </c>
      <c r="B42" s="23" t="s">
        <v>18</v>
      </c>
      <c r="C42" s="23" t="s">
        <v>242</v>
      </c>
      <c r="D42" s="23" t="s">
        <v>201</v>
      </c>
      <c r="E42" s="22" t="s">
        <v>51</v>
      </c>
      <c r="F42" s="23" t="s">
        <v>243</v>
      </c>
      <c r="G42" s="23" t="s">
        <v>244</v>
      </c>
      <c r="H42" s="23" t="s">
        <v>204</v>
      </c>
      <c r="I42" s="22" t="n">
        <v>403</v>
      </c>
      <c r="J42" s="23" t="s">
        <v>240</v>
      </c>
      <c r="K42" s="24"/>
      <c r="L42" s="24" t="s">
        <v>6</v>
      </c>
      <c r="M42" s="25"/>
      <c r="N42" s="26"/>
    </row>
    <row r="43" customFormat="false" ht="23.85" hidden="false" customHeight="false" outlineLevel="0" collapsed="false">
      <c r="A43" s="22" t="s">
        <v>245</v>
      </c>
      <c r="B43" s="23" t="s">
        <v>19</v>
      </c>
      <c r="C43" s="23" t="s">
        <v>246</v>
      </c>
      <c r="D43" s="23" t="s">
        <v>50</v>
      </c>
      <c r="E43" s="22" t="s">
        <v>64</v>
      </c>
      <c r="F43" s="23" t="s">
        <v>247</v>
      </c>
      <c r="G43" s="23" t="s">
        <v>248</v>
      </c>
      <c r="H43" s="23" t="s">
        <v>249</v>
      </c>
      <c r="I43" s="22" t="n">
        <v>201</v>
      </c>
      <c r="J43" s="23" t="s">
        <v>250</v>
      </c>
      <c r="K43" s="24"/>
      <c r="L43" s="24" t="s">
        <v>6</v>
      </c>
      <c r="M43" s="25"/>
      <c r="N43" s="26"/>
    </row>
    <row r="44" customFormat="false" ht="15" hidden="false" customHeight="false" outlineLevel="0" collapsed="false">
      <c r="A44" s="22" t="s">
        <v>251</v>
      </c>
      <c r="B44" s="23" t="s">
        <v>19</v>
      </c>
      <c r="C44" s="23" t="s">
        <v>252</v>
      </c>
      <c r="D44" s="23" t="s">
        <v>50</v>
      </c>
      <c r="E44" s="22" t="s">
        <v>64</v>
      </c>
      <c r="F44" s="23" t="s">
        <v>247</v>
      </c>
      <c r="G44" s="23" t="s">
        <v>248</v>
      </c>
      <c r="H44" s="23" t="s">
        <v>253</v>
      </c>
      <c r="I44" s="22" t="n">
        <v>422</v>
      </c>
      <c r="J44" s="23" t="s">
        <v>254</v>
      </c>
      <c r="K44" s="24"/>
      <c r="L44" s="24" t="s">
        <v>6</v>
      </c>
      <c r="M44" s="25"/>
      <c r="N44" s="26"/>
    </row>
    <row r="45" customFormat="false" ht="15" hidden="false" customHeight="false" outlineLevel="0" collapsed="false">
      <c r="A45" s="22" t="s">
        <v>255</v>
      </c>
      <c r="B45" s="23" t="s">
        <v>19</v>
      </c>
      <c r="C45" s="23" t="s">
        <v>256</v>
      </c>
      <c r="D45" s="23" t="s">
        <v>50</v>
      </c>
      <c r="E45" s="22" t="s">
        <v>64</v>
      </c>
      <c r="F45" s="23" t="s">
        <v>247</v>
      </c>
      <c r="G45" s="23" t="s">
        <v>248</v>
      </c>
      <c r="H45" s="23" t="s">
        <v>257</v>
      </c>
      <c r="I45" s="22" t="n">
        <v>400</v>
      </c>
      <c r="J45" s="23" t="s">
        <v>258</v>
      </c>
      <c r="K45" s="24"/>
      <c r="L45" s="24" t="s">
        <v>6</v>
      </c>
      <c r="M45" s="25"/>
      <c r="N45" s="26"/>
    </row>
    <row r="46" customFormat="false" ht="15" hidden="false" customHeight="false" outlineLevel="0" collapsed="false">
      <c r="A46" s="22" t="s">
        <v>259</v>
      </c>
      <c r="B46" s="23" t="s">
        <v>19</v>
      </c>
      <c r="C46" s="23" t="s">
        <v>260</v>
      </c>
      <c r="D46" s="23" t="s">
        <v>50</v>
      </c>
      <c r="E46" s="22" t="s">
        <v>64</v>
      </c>
      <c r="F46" s="23" t="s">
        <v>247</v>
      </c>
      <c r="G46" s="23" t="s">
        <v>248</v>
      </c>
      <c r="H46" s="23" t="s">
        <v>261</v>
      </c>
      <c r="I46" s="22" t="n">
        <v>413</v>
      </c>
      <c r="J46" s="23" t="s">
        <v>262</v>
      </c>
      <c r="K46" s="24"/>
      <c r="L46" s="24" t="s">
        <v>6</v>
      </c>
      <c r="M46" s="25"/>
      <c r="N46" s="26"/>
    </row>
    <row r="47" customFormat="false" ht="15" hidden="false" customHeight="false" outlineLevel="0" collapsed="false">
      <c r="A47" s="22" t="s">
        <v>263</v>
      </c>
      <c r="B47" s="23" t="s">
        <v>19</v>
      </c>
      <c r="C47" s="23" t="s">
        <v>264</v>
      </c>
      <c r="D47" s="23" t="s">
        <v>50</v>
      </c>
      <c r="E47" s="22" t="s">
        <v>64</v>
      </c>
      <c r="F47" s="23" t="s">
        <v>247</v>
      </c>
      <c r="G47" s="23" t="s">
        <v>248</v>
      </c>
      <c r="H47" s="23" t="s">
        <v>265</v>
      </c>
      <c r="I47" s="22" t="n">
        <v>409</v>
      </c>
      <c r="J47" s="23" t="s">
        <v>72</v>
      </c>
      <c r="K47" s="24"/>
      <c r="L47" s="24" t="s">
        <v>6</v>
      </c>
      <c r="M47" s="25"/>
      <c r="N47" s="26"/>
    </row>
    <row r="48" customFormat="false" ht="15" hidden="false" customHeight="false" outlineLevel="0" collapsed="false">
      <c r="A48" s="22" t="s">
        <v>266</v>
      </c>
      <c r="B48" s="23" t="s">
        <v>19</v>
      </c>
      <c r="C48" s="23" t="s">
        <v>267</v>
      </c>
      <c r="D48" s="23" t="s">
        <v>50</v>
      </c>
      <c r="E48" s="22" t="s">
        <v>64</v>
      </c>
      <c r="F48" s="23" t="s">
        <v>83</v>
      </c>
      <c r="G48" s="23" t="s">
        <v>268</v>
      </c>
      <c r="H48" s="23" t="s">
        <v>269</v>
      </c>
      <c r="I48" s="22" t="n">
        <v>403</v>
      </c>
      <c r="J48" s="23" t="s">
        <v>86</v>
      </c>
      <c r="K48" s="24"/>
      <c r="L48" s="24" t="s">
        <v>6</v>
      </c>
      <c r="M48" s="25"/>
      <c r="N48" s="26"/>
    </row>
    <row r="49" customFormat="false" ht="15" hidden="false" customHeight="false" outlineLevel="0" collapsed="false">
      <c r="A49" s="22" t="s">
        <v>270</v>
      </c>
      <c r="B49" s="23" t="s">
        <v>19</v>
      </c>
      <c r="C49" s="23" t="s">
        <v>271</v>
      </c>
      <c r="D49" s="23" t="s">
        <v>50</v>
      </c>
      <c r="E49" s="22" t="s">
        <v>64</v>
      </c>
      <c r="F49" s="23" t="s">
        <v>89</v>
      </c>
      <c r="G49" s="23" t="s">
        <v>90</v>
      </c>
      <c r="H49" s="23" t="s">
        <v>272</v>
      </c>
      <c r="I49" s="22" t="n">
        <v>200</v>
      </c>
      <c r="J49" s="23" t="s">
        <v>273</v>
      </c>
      <c r="K49" s="24"/>
      <c r="L49" s="24" t="s">
        <v>6</v>
      </c>
      <c r="M49" s="25"/>
      <c r="N49" s="26"/>
    </row>
    <row r="50" customFormat="false" ht="15" hidden="false" customHeight="false" outlineLevel="0" collapsed="false">
      <c r="A50" s="22" t="s">
        <v>274</v>
      </c>
      <c r="B50" s="23" t="s">
        <v>19</v>
      </c>
      <c r="C50" s="23" t="s">
        <v>275</v>
      </c>
      <c r="D50" s="23" t="s">
        <v>50</v>
      </c>
      <c r="E50" s="22" t="s">
        <v>64</v>
      </c>
      <c r="F50" s="23" t="s">
        <v>83</v>
      </c>
      <c r="G50" s="23" t="s">
        <v>268</v>
      </c>
      <c r="H50" s="23"/>
      <c r="I50" s="22" t="n">
        <v>200</v>
      </c>
      <c r="J50" s="23" t="s">
        <v>276</v>
      </c>
      <c r="K50" s="24"/>
      <c r="L50" s="24" t="s">
        <v>6</v>
      </c>
      <c r="M50" s="25"/>
      <c r="N50" s="26"/>
    </row>
    <row r="51" customFormat="false" ht="15" hidden="false" customHeight="false" outlineLevel="0" collapsed="false">
      <c r="A51" s="22" t="s">
        <v>277</v>
      </c>
      <c r="B51" s="23" t="s">
        <v>19</v>
      </c>
      <c r="C51" s="23" t="s">
        <v>278</v>
      </c>
      <c r="D51" s="23" t="s">
        <v>279</v>
      </c>
      <c r="E51" s="22" t="s">
        <v>51</v>
      </c>
      <c r="F51" s="23" t="s">
        <v>238</v>
      </c>
      <c r="G51" s="23" t="s">
        <v>239</v>
      </c>
      <c r="H51" s="23"/>
      <c r="I51" s="22" t="n">
        <v>200</v>
      </c>
      <c r="J51" s="23" t="s">
        <v>280</v>
      </c>
      <c r="K51" s="24"/>
      <c r="L51" s="24" t="s">
        <v>6</v>
      </c>
      <c r="M51" s="25"/>
      <c r="N51" s="26"/>
    </row>
    <row r="52" customFormat="false" ht="15" hidden="false" customHeight="false" outlineLevel="0" collapsed="false">
      <c r="A52" s="22" t="s">
        <v>281</v>
      </c>
      <c r="B52" s="23" t="s">
        <v>19</v>
      </c>
      <c r="C52" s="23" t="s">
        <v>282</v>
      </c>
      <c r="D52" s="23" t="s">
        <v>279</v>
      </c>
      <c r="E52" s="22" t="s">
        <v>221</v>
      </c>
      <c r="F52" s="23" t="s">
        <v>238</v>
      </c>
      <c r="G52" s="23" t="s">
        <v>283</v>
      </c>
      <c r="H52" s="23" t="s">
        <v>284</v>
      </c>
      <c r="I52" s="22" t="n">
        <v>200</v>
      </c>
      <c r="J52" s="23" t="s">
        <v>285</v>
      </c>
      <c r="K52" s="24"/>
      <c r="L52" s="24" t="s">
        <v>6</v>
      </c>
      <c r="M52" s="25"/>
      <c r="N52" s="26"/>
    </row>
    <row r="53" customFormat="false" ht="23.85" hidden="false" customHeight="false" outlineLevel="0" collapsed="false">
      <c r="A53" s="22" t="s">
        <v>286</v>
      </c>
      <c r="B53" s="23" t="s">
        <v>19</v>
      </c>
      <c r="C53" s="23" t="s">
        <v>287</v>
      </c>
      <c r="D53" s="23" t="s">
        <v>279</v>
      </c>
      <c r="E53" s="22" t="s">
        <v>51</v>
      </c>
      <c r="F53" s="23" t="s">
        <v>288</v>
      </c>
      <c r="G53" s="23" t="s">
        <v>289</v>
      </c>
      <c r="H53" s="23"/>
      <c r="I53" s="22" t="n">
        <v>200</v>
      </c>
      <c r="J53" s="23" t="s">
        <v>290</v>
      </c>
      <c r="K53" s="24"/>
      <c r="L53" s="24" t="s">
        <v>6</v>
      </c>
      <c r="M53" s="25"/>
      <c r="N53" s="26"/>
    </row>
    <row r="54" customFormat="false" ht="15" hidden="false" customHeight="false" outlineLevel="0" collapsed="false">
      <c r="A54" s="22" t="s">
        <v>291</v>
      </c>
      <c r="B54" s="23" t="s">
        <v>19</v>
      </c>
      <c r="C54" s="23" t="s">
        <v>292</v>
      </c>
      <c r="D54" s="23" t="s">
        <v>279</v>
      </c>
      <c r="E54" s="22" t="s">
        <v>64</v>
      </c>
      <c r="F54" s="23" t="s">
        <v>288</v>
      </c>
      <c r="G54" s="23" t="s">
        <v>293</v>
      </c>
      <c r="H54" s="23" t="s">
        <v>294</v>
      </c>
      <c r="I54" s="22" t="n">
        <v>201</v>
      </c>
      <c r="J54" s="23" t="s">
        <v>295</v>
      </c>
      <c r="K54" s="24"/>
      <c r="L54" s="24" t="s">
        <v>6</v>
      </c>
      <c r="M54" s="25"/>
      <c r="N54" s="26"/>
    </row>
    <row r="55" customFormat="false" ht="15" hidden="false" customHeight="false" outlineLevel="0" collapsed="false">
      <c r="A55" s="22" t="s">
        <v>296</v>
      </c>
      <c r="B55" s="23" t="s">
        <v>19</v>
      </c>
      <c r="C55" s="23" t="s">
        <v>297</v>
      </c>
      <c r="D55" s="23" t="s">
        <v>279</v>
      </c>
      <c r="E55" s="22" t="s">
        <v>64</v>
      </c>
      <c r="F55" s="23" t="s">
        <v>288</v>
      </c>
      <c r="G55" s="23" t="s">
        <v>293</v>
      </c>
      <c r="H55" s="23" t="s">
        <v>298</v>
      </c>
      <c r="I55" s="22" t="n">
        <v>400</v>
      </c>
      <c r="J55" s="23" t="s">
        <v>258</v>
      </c>
      <c r="K55" s="24"/>
      <c r="L55" s="24" t="s">
        <v>6</v>
      </c>
      <c r="M55" s="25"/>
      <c r="N55" s="26"/>
    </row>
    <row r="56" customFormat="false" ht="23.85" hidden="false" customHeight="false" outlineLevel="0" collapsed="false">
      <c r="A56" s="22" t="s">
        <v>299</v>
      </c>
      <c r="B56" s="23" t="s">
        <v>19</v>
      </c>
      <c r="C56" s="23" t="s">
        <v>300</v>
      </c>
      <c r="D56" s="23" t="s">
        <v>279</v>
      </c>
      <c r="E56" s="22" t="s">
        <v>51</v>
      </c>
      <c r="F56" s="23" t="s">
        <v>301</v>
      </c>
      <c r="G56" s="23" t="s">
        <v>302</v>
      </c>
      <c r="H56" s="23" t="s">
        <v>303</v>
      </c>
      <c r="I56" s="22" t="n">
        <v>403</v>
      </c>
      <c r="J56" s="23" t="s">
        <v>304</v>
      </c>
      <c r="K56" s="24"/>
      <c r="L56" s="24" t="s">
        <v>6</v>
      </c>
      <c r="M56" s="25"/>
      <c r="N56" s="26"/>
    </row>
    <row r="57" customFormat="false" ht="23.85" hidden="false" customHeight="false" outlineLevel="0" collapsed="false">
      <c r="A57" s="22" t="s">
        <v>305</v>
      </c>
      <c r="B57" s="23" t="s">
        <v>19</v>
      </c>
      <c r="C57" s="23" t="s">
        <v>306</v>
      </c>
      <c r="D57" s="23" t="s">
        <v>279</v>
      </c>
      <c r="E57" s="22" t="s">
        <v>51</v>
      </c>
      <c r="F57" s="23" t="s">
        <v>301</v>
      </c>
      <c r="G57" s="23" t="s">
        <v>302</v>
      </c>
      <c r="H57" s="23" t="s">
        <v>307</v>
      </c>
      <c r="I57" s="22" t="n">
        <v>200</v>
      </c>
      <c r="J57" s="23" t="s">
        <v>308</v>
      </c>
      <c r="K57" s="24"/>
      <c r="L57" s="24" t="s">
        <v>6</v>
      </c>
      <c r="M57" s="25"/>
      <c r="N57" s="26"/>
    </row>
    <row r="58" customFormat="false" ht="15" hidden="false" customHeight="false" outlineLevel="0" collapsed="false">
      <c r="A58" s="22" t="s">
        <v>309</v>
      </c>
      <c r="B58" s="23" t="s">
        <v>19</v>
      </c>
      <c r="C58" s="23" t="s">
        <v>310</v>
      </c>
      <c r="D58" s="23" t="s">
        <v>279</v>
      </c>
      <c r="E58" s="22" t="s">
        <v>51</v>
      </c>
      <c r="F58" s="23" t="s">
        <v>311</v>
      </c>
      <c r="G58" s="23" t="s">
        <v>312</v>
      </c>
      <c r="H58" s="23" t="s">
        <v>313</v>
      </c>
      <c r="I58" s="22" t="n">
        <v>403</v>
      </c>
      <c r="J58" s="23" t="s">
        <v>240</v>
      </c>
      <c r="K58" s="24"/>
      <c r="L58" s="24" t="s">
        <v>6</v>
      </c>
      <c r="M58" s="25"/>
      <c r="N58" s="26"/>
    </row>
    <row r="59" customFormat="false" ht="15" hidden="false" customHeight="false" outlineLevel="0" collapsed="false">
      <c r="A59" s="22" t="s">
        <v>314</v>
      </c>
      <c r="B59" s="23" t="s">
        <v>19</v>
      </c>
      <c r="C59" s="23" t="s">
        <v>315</v>
      </c>
      <c r="D59" s="23" t="s">
        <v>279</v>
      </c>
      <c r="E59" s="22" t="s">
        <v>51</v>
      </c>
      <c r="F59" s="23" t="s">
        <v>243</v>
      </c>
      <c r="G59" s="23" t="s">
        <v>244</v>
      </c>
      <c r="H59" s="23" t="s">
        <v>313</v>
      </c>
      <c r="I59" s="22" t="n">
        <v>403</v>
      </c>
      <c r="J59" s="23" t="s">
        <v>240</v>
      </c>
      <c r="K59" s="24"/>
      <c r="L59" s="24" t="s">
        <v>6</v>
      </c>
      <c r="M59" s="25"/>
      <c r="N59" s="26"/>
    </row>
    <row r="60" customFormat="false" ht="15" hidden="false" customHeight="false" outlineLevel="0" collapsed="false">
      <c r="A60" s="22" t="s">
        <v>316</v>
      </c>
      <c r="B60" s="23" t="s">
        <v>20</v>
      </c>
      <c r="C60" s="23" t="s">
        <v>317</v>
      </c>
      <c r="D60" s="23" t="s">
        <v>318</v>
      </c>
      <c r="E60" s="22" t="s">
        <v>51</v>
      </c>
      <c r="F60" s="23" t="s">
        <v>233</v>
      </c>
      <c r="G60" s="23" t="s">
        <v>234</v>
      </c>
      <c r="H60" s="23"/>
      <c r="I60" s="22" t="n">
        <v>200</v>
      </c>
      <c r="J60" s="23" t="s">
        <v>319</v>
      </c>
      <c r="K60" s="24"/>
      <c r="L60" s="24" t="s">
        <v>6</v>
      </c>
      <c r="M60" s="25"/>
      <c r="N60" s="26"/>
    </row>
    <row r="61" customFormat="false" ht="15" hidden="false" customHeight="false" outlineLevel="0" collapsed="false">
      <c r="A61" s="22" t="s">
        <v>320</v>
      </c>
      <c r="B61" s="23" t="s">
        <v>20</v>
      </c>
      <c r="C61" s="23" t="s">
        <v>321</v>
      </c>
      <c r="D61" s="23" t="s">
        <v>318</v>
      </c>
      <c r="E61" s="22" t="s">
        <v>51</v>
      </c>
      <c r="F61" s="23" t="s">
        <v>233</v>
      </c>
      <c r="G61" s="23" t="s">
        <v>234</v>
      </c>
      <c r="H61" s="23" t="s">
        <v>322</v>
      </c>
      <c r="I61" s="22" t="n">
        <v>200</v>
      </c>
      <c r="J61" s="23" t="s">
        <v>323</v>
      </c>
      <c r="K61" s="24"/>
      <c r="L61" s="24" t="s">
        <v>6</v>
      </c>
      <c r="M61" s="25"/>
      <c r="N61" s="26"/>
    </row>
    <row r="62" customFormat="false" ht="15" hidden="false" customHeight="false" outlineLevel="0" collapsed="false">
      <c r="A62" s="22" t="s">
        <v>324</v>
      </c>
      <c r="B62" s="23" t="s">
        <v>20</v>
      </c>
      <c r="C62" s="23" t="s">
        <v>325</v>
      </c>
      <c r="D62" s="23" t="s">
        <v>318</v>
      </c>
      <c r="E62" s="22" t="s">
        <v>51</v>
      </c>
      <c r="F62" s="23" t="s">
        <v>233</v>
      </c>
      <c r="G62" s="23" t="s">
        <v>234</v>
      </c>
      <c r="H62" s="23" t="s">
        <v>326</v>
      </c>
      <c r="I62" s="22" t="n">
        <v>422</v>
      </c>
      <c r="J62" s="23" t="s">
        <v>213</v>
      </c>
      <c r="K62" s="24"/>
      <c r="L62" s="24" t="s">
        <v>6</v>
      </c>
      <c r="M62" s="25"/>
      <c r="N62" s="26"/>
    </row>
    <row r="63" customFormat="false" ht="15" hidden="false" customHeight="false" outlineLevel="0" collapsed="false">
      <c r="A63" s="22" t="s">
        <v>327</v>
      </c>
      <c r="B63" s="23" t="s">
        <v>20</v>
      </c>
      <c r="C63" s="23" t="s">
        <v>328</v>
      </c>
      <c r="D63" s="23" t="s">
        <v>318</v>
      </c>
      <c r="E63" s="22" t="s">
        <v>51</v>
      </c>
      <c r="F63" s="23" t="s">
        <v>329</v>
      </c>
      <c r="G63" s="23" t="s">
        <v>330</v>
      </c>
      <c r="H63" s="23" t="s">
        <v>331</v>
      </c>
      <c r="I63" s="22" t="n">
        <v>200</v>
      </c>
      <c r="J63" s="23" t="s">
        <v>332</v>
      </c>
      <c r="K63" s="24"/>
      <c r="L63" s="24" t="s">
        <v>6</v>
      </c>
      <c r="M63" s="25"/>
      <c r="N63" s="26"/>
    </row>
    <row r="64" customFormat="false" ht="15" hidden="false" customHeight="false" outlineLevel="0" collapsed="false">
      <c r="A64" s="22" t="s">
        <v>333</v>
      </c>
      <c r="B64" s="23" t="s">
        <v>20</v>
      </c>
      <c r="C64" s="23" t="s">
        <v>334</v>
      </c>
      <c r="D64" s="23" t="s">
        <v>318</v>
      </c>
      <c r="E64" s="22" t="s">
        <v>51</v>
      </c>
      <c r="F64" s="23" t="s">
        <v>329</v>
      </c>
      <c r="G64" s="23" t="s">
        <v>330</v>
      </c>
      <c r="H64" s="23" t="s">
        <v>335</v>
      </c>
      <c r="I64" s="22" t="n">
        <v>422</v>
      </c>
      <c r="J64" s="23" t="s">
        <v>213</v>
      </c>
      <c r="K64" s="24"/>
      <c r="L64" s="24" t="s">
        <v>6</v>
      </c>
      <c r="M64" s="25"/>
      <c r="N64" s="26"/>
    </row>
    <row r="65" customFormat="false" ht="15" hidden="false" customHeight="false" outlineLevel="0" collapsed="false">
      <c r="A65" s="22" t="s">
        <v>336</v>
      </c>
      <c r="B65" s="23" t="s">
        <v>20</v>
      </c>
      <c r="C65" s="23" t="s">
        <v>337</v>
      </c>
      <c r="D65" s="23" t="s">
        <v>318</v>
      </c>
      <c r="E65" s="22" t="s">
        <v>51</v>
      </c>
      <c r="F65" s="23" t="s">
        <v>329</v>
      </c>
      <c r="G65" s="23" t="s">
        <v>330</v>
      </c>
      <c r="H65" s="23" t="s">
        <v>338</v>
      </c>
      <c r="I65" s="22" t="n">
        <v>404</v>
      </c>
      <c r="J65" s="23" t="s">
        <v>339</v>
      </c>
      <c r="K65" s="24"/>
      <c r="L65" s="24" t="s">
        <v>6</v>
      </c>
      <c r="M65" s="25"/>
      <c r="N65" s="26"/>
    </row>
    <row r="66" customFormat="false" ht="23.85" hidden="false" customHeight="false" outlineLevel="0" collapsed="false">
      <c r="A66" s="22" t="s">
        <v>340</v>
      </c>
      <c r="B66" s="23" t="s">
        <v>20</v>
      </c>
      <c r="C66" s="23" t="s">
        <v>341</v>
      </c>
      <c r="D66" s="23" t="s">
        <v>318</v>
      </c>
      <c r="E66" s="22" t="s">
        <v>221</v>
      </c>
      <c r="F66" s="23" t="s">
        <v>329</v>
      </c>
      <c r="G66" s="23" t="s">
        <v>342</v>
      </c>
      <c r="H66" s="23"/>
      <c r="I66" s="22" t="n">
        <v>200</v>
      </c>
      <c r="J66" s="23" t="s">
        <v>343</v>
      </c>
      <c r="K66" s="24"/>
      <c r="L66" s="24" t="s">
        <v>6</v>
      </c>
      <c r="M66" s="25"/>
      <c r="N66" s="26"/>
    </row>
    <row r="67" customFormat="false" ht="23.85" hidden="false" customHeight="false" outlineLevel="0" collapsed="false">
      <c r="A67" s="22" t="s">
        <v>344</v>
      </c>
      <c r="B67" s="23" t="s">
        <v>20</v>
      </c>
      <c r="C67" s="23" t="s">
        <v>345</v>
      </c>
      <c r="D67" s="23" t="s">
        <v>318</v>
      </c>
      <c r="E67" s="22" t="s">
        <v>64</v>
      </c>
      <c r="F67" s="23" t="s">
        <v>346</v>
      </c>
      <c r="G67" s="23" t="s">
        <v>347</v>
      </c>
      <c r="H67" s="23" t="s">
        <v>348</v>
      </c>
      <c r="I67" s="22" t="n">
        <v>201</v>
      </c>
      <c r="J67" s="23" t="s">
        <v>349</v>
      </c>
      <c r="K67" s="24"/>
      <c r="L67" s="24" t="s">
        <v>6</v>
      </c>
      <c r="M67" s="25"/>
      <c r="N67" s="26"/>
    </row>
    <row r="68" customFormat="false" ht="23.85" hidden="false" customHeight="false" outlineLevel="0" collapsed="false">
      <c r="A68" s="22" t="s">
        <v>350</v>
      </c>
      <c r="B68" s="23" t="s">
        <v>20</v>
      </c>
      <c r="C68" s="23" t="s">
        <v>351</v>
      </c>
      <c r="D68" s="23" t="s">
        <v>318</v>
      </c>
      <c r="E68" s="22" t="s">
        <v>64</v>
      </c>
      <c r="F68" s="23" t="s">
        <v>346</v>
      </c>
      <c r="G68" s="23" t="s">
        <v>347</v>
      </c>
      <c r="H68" s="23" t="s">
        <v>197</v>
      </c>
      <c r="I68" s="22" t="n">
        <v>409</v>
      </c>
      <c r="J68" s="23" t="s">
        <v>352</v>
      </c>
      <c r="K68" s="24"/>
      <c r="L68" s="24" t="s">
        <v>6</v>
      </c>
      <c r="M68" s="25"/>
      <c r="N68" s="26"/>
    </row>
    <row r="69" customFormat="false" ht="23.85" hidden="false" customHeight="false" outlineLevel="0" collapsed="false">
      <c r="A69" s="22" t="s">
        <v>353</v>
      </c>
      <c r="B69" s="23" t="s">
        <v>20</v>
      </c>
      <c r="C69" s="23" t="s">
        <v>354</v>
      </c>
      <c r="D69" s="23" t="s">
        <v>318</v>
      </c>
      <c r="E69" s="22" t="s">
        <v>64</v>
      </c>
      <c r="F69" s="23" t="s">
        <v>346</v>
      </c>
      <c r="G69" s="23" t="s">
        <v>347</v>
      </c>
      <c r="H69" s="23" t="s">
        <v>355</v>
      </c>
      <c r="I69" s="22" t="n">
        <v>422</v>
      </c>
      <c r="J69" s="23" t="s">
        <v>213</v>
      </c>
      <c r="K69" s="24"/>
      <c r="L69" s="24" t="s">
        <v>6</v>
      </c>
      <c r="M69" s="25"/>
      <c r="N69" s="26"/>
    </row>
    <row r="70" customFormat="false" ht="23.85" hidden="false" customHeight="false" outlineLevel="0" collapsed="false">
      <c r="A70" s="22" t="s">
        <v>356</v>
      </c>
      <c r="B70" s="23" t="s">
        <v>20</v>
      </c>
      <c r="C70" s="23" t="s">
        <v>357</v>
      </c>
      <c r="D70" s="23" t="s">
        <v>318</v>
      </c>
      <c r="E70" s="22" t="s">
        <v>64</v>
      </c>
      <c r="F70" s="23" t="s">
        <v>233</v>
      </c>
      <c r="G70" s="23" t="s">
        <v>358</v>
      </c>
      <c r="H70" s="23" t="s">
        <v>359</v>
      </c>
      <c r="I70" s="22" t="n">
        <v>201</v>
      </c>
      <c r="J70" s="23" t="s">
        <v>360</v>
      </c>
      <c r="K70" s="24"/>
      <c r="L70" s="24" t="s">
        <v>6</v>
      </c>
      <c r="M70" s="25"/>
      <c r="N70" s="26"/>
    </row>
    <row r="71" customFormat="false" ht="23.85" hidden="false" customHeight="false" outlineLevel="0" collapsed="false">
      <c r="A71" s="22" t="s">
        <v>361</v>
      </c>
      <c r="B71" s="23" t="s">
        <v>20</v>
      </c>
      <c r="C71" s="23" t="s">
        <v>362</v>
      </c>
      <c r="D71" s="23" t="s">
        <v>50</v>
      </c>
      <c r="E71" s="22" t="s">
        <v>64</v>
      </c>
      <c r="F71" s="23" t="s">
        <v>363</v>
      </c>
      <c r="G71" s="23" t="s">
        <v>364</v>
      </c>
      <c r="H71" s="23" t="s">
        <v>365</v>
      </c>
      <c r="I71" s="22" t="n">
        <v>200</v>
      </c>
      <c r="J71" s="23" t="s">
        <v>366</v>
      </c>
      <c r="K71" s="24"/>
      <c r="L71" s="24" t="s">
        <v>6</v>
      </c>
      <c r="M71" s="25"/>
      <c r="N71" s="26"/>
    </row>
    <row r="72" customFormat="false" ht="15" hidden="false" customHeight="false" outlineLevel="0" collapsed="false">
      <c r="A72" s="22" t="s">
        <v>367</v>
      </c>
      <c r="B72" s="23" t="s">
        <v>20</v>
      </c>
      <c r="C72" s="23" t="s">
        <v>368</v>
      </c>
      <c r="D72" s="23" t="s">
        <v>50</v>
      </c>
      <c r="E72" s="22" t="s">
        <v>64</v>
      </c>
      <c r="F72" s="23" t="s">
        <v>363</v>
      </c>
      <c r="G72" s="23" t="s">
        <v>364</v>
      </c>
      <c r="H72" s="23" t="s">
        <v>369</v>
      </c>
      <c r="I72" s="22" t="n">
        <v>400</v>
      </c>
      <c r="J72" s="23" t="s">
        <v>370</v>
      </c>
      <c r="K72" s="24"/>
      <c r="L72" s="24" t="s">
        <v>6</v>
      </c>
      <c r="M72" s="25"/>
      <c r="N72" s="26"/>
    </row>
    <row r="73" customFormat="false" ht="15" hidden="false" customHeight="false" outlineLevel="0" collapsed="false">
      <c r="A73" s="22" t="s">
        <v>371</v>
      </c>
      <c r="B73" s="23" t="s">
        <v>20</v>
      </c>
      <c r="C73" s="23" t="s">
        <v>372</v>
      </c>
      <c r="D73" s="23" t="s">
        <v>50</v>
      </c>
      <c r="E73" s="22" t="s">
        <v>64</v>
      </c>
      <c r="F73" s="23" t="s">
        <v>83</v>
      </c>
      <c r="G73" s="23" t="s">
        <v>373</v>
      </c>
      <c r="H73" s="23" t="s">
        <v>374</v>
      </c>
      <c r="I73" s="22" t="n">
        <v>200</v>
      </c>
      <c r="J73" s="23" t="s">
        <v>375</v>
      </c>
      <c r="K73" s="24"/>
      <c r="L73" s="24" t="s">
        <v>6</v>
      </c>
      <c r="M73" s="25"/>
      <c r="N73" s="26"/>
    </row>
    <row r="74" customFormat="false" ht="15" hidden="false" customHeight="false" outlineLevel="0" collapsed="false">
      <c r="A74" s="22" t="s">
        <v>376</v>
      </c>
      <c r="B74" s="23" t="s">
        <v>20</v>
      </c>
      <c r="C74" s="23" t="s">
        <v>377</v>
      </c>
      <c r="D74" s="23" t="s">
        <v>318</v>
      </c>
      <c r="E74" s="22" t="s">
        <v>64</v>
      </c>
      <c r="F74" s="23" t="s">
        <v>378</v>
      </c>
      <c r="G74" s="23" t="s">
        <v>379</v>
      </c>
      <c r="H74" s="23" t="s">
        <v>380</v>
      </c>
      <c r="I74" s="22" t="n">
        <v>200</v>
      </c>
      <c r="J74" s="23" t="s">
        <v>381</v>
      </c>
      <c r="K74" s="24"/>
      <c r="L74" s="24" t="s">
        <v>6</v>
      </c>
      <c r="M74" s="25"/>
      <c r="N74" s="26"/>
    </row>
    <row r="75" customFormat="false" ht="15" hidden="false" customHeight="false" outlineLevel="0" collapsed="false">
      <c r="A75" s="22" t="s">
        <v>382</v>
      </c>
      <c r="B75" s="23" t="s">
        <v>20</v>
      </c>
      <c r="C75" s="23" t="s">
        <v>383</v>
      </c>
      <c r="D75" s="23" t="s">
        <v>318</v>
      </c>
      <c r="E75" s="22" t="s">
        <v>221</v>
      </c>
      <c r="F75" s="23" t="s">
        <v>384</v>
      </c>
      <c r="G75" s="23" t="s">
        <v>385</v>
      </c>
      <c r="H75" s="23" t="s">
        <v>386</v>
      </c>
      <c r="I75" s="22" t="n">
        <v>200</v>
      </c>
      <c r="J75" s="23" t="s">
        <v>387</v>
      </c>
      <c r="K75" s="24"/>
      <c r="L75" s="24" t="s">
        <v>6</v>
      </c>
      <c r="M75" s="25"/>
      <c r="N75" s="26"/>
    </row>
    <row r="76" customFormat="false" ht="15" hidden="false" customHeight="false" outlineLevel="0" collapsed="false">
      <c r="A76" s="22" t="s">
        <v>388</v>
      </c>
      <c r="B76" s="23" t="s">
        <v>20</v>
      </c>
      <c r="C76" s="23" t="s">
        <v>389</v>
      </c>
      <c r="D76" s="23" t="s">
        <v>50</v>
      </c>
      <c r="E76" s="22" t="s">
        <v>64</v>
      </c>
      <c r="F76" s="23" t="s">
        <v>83</v>
      </c>
      <c r="G76" s="23" t="s">
        <v>84</v>
      </c>
      <c r="H76" s="23" t="s">
        <v>390</v>
      </c>
      <c r="I76" s="22" t="n">
        <v>403</v>
      </c>
      <c r="J76" s="23" t="s">
        <v>391</v>
      </c>
      <c r="K76" s="24"/>
      <c r="L76" s="24" t="s">
        <v>6</v>
      </c>
      <c r="M76" s="25"/>
      <c r="N76" s="26"/>
    </row>
    <row r="77" customFormat="false" ht="15" hidden="false" customHeight="false" outlineLevel="0" collapsed="false">
      <c r="A77" s="22" t="s">
        <v>392</v>
      </c>
      <c r="B77" s="23" t="s">
        <v>20</v>
      </c>
      <c r="C77" s="23" t="s">
        <v>393</v>
      </c>
      <c r="D77" s="23" t="s">
        <v>318</v>
      </c>
      <c r="E77" s="22" t="s">
        <v>221</v>
      </c>
      <c r="F77" s="23" t="s">
        <v>384</v>
      </c>
      <c r="G77" s="23" t="s">
        <v>385</v>
      </c>
      <c r="H77" s="23" t="s">
        <v>394</v>
      </c>
      <c r="I77" s="22" t="n">
        <v>200</v>
      </c>
      <c r="J77" s="23" t="s">
        <v>395</v>
      </c>
      <c r="K77" s="24"/>
      <c r="L77" s="24" t="s">
        <v>6</v>
      </c>
      <c r="M77" s="25"/>
      <c r="N77" s="26"/>
    </row>
    <row r="78" customFormat="false" ht="15" hidden="false" customHeight="false" outlineLevel="0" collapsed="false">
      <c r="A78" s="22" t="s">
        <v>396</v>
      </c>
      <c r="B78" s="23" t="s">
        <v>20</v>
      </c>
      <c r="C78" s="23" t="s">
        <v>397</v>
      </c>
      <c r="D78" s="23" t="s">
        <v>318</v>
      </c>
      <c r="E78" s="22" t="s">
        <v>221</v>
      </c>
      <c r="F78" s="23" t="s">
        <v>384</v>
      </c>
      <c r="G78" s="23" t="s">
        <v>385</v>
      </c>
      <c r="H78" s="23" t="s">
        <v>398</v>
      </c>
      <c r="I78" s="22" t="n">
        <v>409</v>
      </c>
      <c r="J78" s="23" t="s">
        <v>399</v>
      </c>
      <c r="K78" s="24"/>
      <c r="L78" s="24" t="s">
        <v>6</v>
      </c>
      <c r="M78" s="25"/>
      <c r="N78" s="26"/>
    </row>
    <row r="79" customFormat="false" ht="15" hidden="false" customHeight="false" outlineLevel="0" collapsed="false">
      <c r="A79" s="22" t="s">
        <v>400</v>
      </c>
      <c r="B79" s="23" t="s">
        <v>20</v>
      </c>
      <c r="C79" s="23" t="s">
        <v>401</v>
      </c>
      <c r="D79" s="23" t="s">
        <v>318</v>
      </c>
      <c r="E79" s="22" t="s">
        <v>221</v>
      </c>
      <c r="F79" s="23" t="s">
        <v>402</v>
      </c>
      <c r="G79" s="23" t="s">
        <v>403</v>
      </c>
      <c r="H79" s="23" t="s">
        <v>404</v>
      </c>
      <c r="I79" s="22" t="n">
        <v>200</v>
      </c>
      <c r="J79" s="23" t="s">
        <v>405</v>
      </c>
      <c r="K79" s="24"/>
      <c r="L79" s="24" t="s">
        <v>6</v>
      </c>
      <c r="M79" s="25"/>
      <c r="N79" s="26"/>
    </row>
    <row r="80" customFormat="false" ht="15" hidden="false" customHeight="false" outlineLevel="0" collapsed="false">
      <c r="A80" s="22" t="s">
        <v>406</v>
      </c>
      <c r="B80" s="23" t="s">
        <v>20</v>
      </c>
      <c r="C80" s="23" t="s">
        <v>407</v>
      </c>
      <c r="D80" s="23" t="s">
        <v>318</v>
      </c>
      <c r="E80" s="22" t="s">
        <v>221</v>
      </c>
      <c r="F80" s="23" t="s">
        <v>402</v>
      </c>
      <c r="G80" s="23" t="s">
        <v>403</v>
      </c>
      <c r="H80" s="23" t="s">
        <v>408</v>
      </c>
      <c r="I80" s="22" t="n">
        <v>409</v>
      </c>
      <c r="J80" s="23" t="s">
        <v>409</v>
      </c>
      <c r="K80" s="24"/>
      <c r="L80" s="24" t="s">
        <v>6</v>
      </c>
      <c r="M80" s="25"/>
      <c r="N80" s="26"/>
    </row>
    <row r="81" customFormat="false" ht="15" hidden="false" customHeight="false" outlineLevel="0" collapsed="false">
      <c r="A81" s="22" t="s">
        <v>410</v>
      </c>
      <c r="B81" s="23" t="s">
        <v>20</v>
      </c>
      <c r="C81" s="23" t="s">
        <v>411</v>
      </c>
      <c r="D81" s="23" t="s">
        <v>318</v>
      </c>
      <c r="E81" s="22" t="s">
        <v>221</v>
      </c>
      <c r="F81" s="23" t="s">
        <v>412</v>
      </c>
      <c r="G81" s="23" t="s">
        <v>413</v>
      </c>
      <c r="H81" s="23" t="s">
        <v>414</v>
      </c>
      <c r="I81" s="22" t="n">
        <v>200</v>
      </c>
      <c r="J81" s="23" t="s">
        <v>415</v>
      </c>
      <c r="K81" s="24"/>
      <c r="L81" s="24" t="s">
        <v>6</v>
      </c>
      <c r="M81" s="25"/>
      <c r="N81" s="26"/>
    </row>
    <row r="82" customFormat="false" ht="15" hidden="false" customHeight="false" outlineLevel="0" collapsed="false">
      <c r="A82" s="22" t="s">
        <v>416</v>
      </c>
      <c r="B82" s="23" t="s">
        <v>20</v>
      </c>
      <c r="C82" s="23" t="s">
        <v>417</v>
      </c>
      <c r="D82" s="23" t="s">
        <v>318</v>
      </c>
      <c r="E82" s="22" t="s">
        <v>221</v>
      </c>
      <c r="F82" s="23" t="s">
        <v>412</v>
      </c>
      <c r="G82" s="23" t="s">
        <v>413</v>
      </c>
      <c r="H82" s="23" t="s">
        <v>418</v>
      </c>
      <c r="I82" s="22" t="n">
        <v>409</v>
      </c>
      <c r="J82" s="23" t="s">
        <v>419</v>
      </c>
      <c r="K82" s="24"/>
      <c r="L82" s="24" t="s">
        <v>6</v>
      </c>
      <c r="M82" s="25"/>
      <c r="N82" s="26"/>
    </row>
    <row r="83" customFormat="false" ht="15" hidden="false" customHeight="false" outlineLevel="0" collapsed="false">
      <c r="A83" s="22" t="s">
        <v>420</v>
      </c>
      <c r="B83" s="23" t="s">
        <v>20</v>
      </c>
      <c r="C83" s="23" t="s">
        <v>421</v>
      </c>
      <c r="D83" s="23" t="s">
        <v>318</v>
      </c>
      <c r="E83" s="22" t="s">
        <v>422</v>
      </c>
      <c r="F83" s="23" t="s">
        <v>329</v>
      </c>
      <c r="G83" s="23" t="s">
        <v>423</v>
      </c>
      <c r="H83" s="23" t="s">
        <v>424</v>
      </c>
      <c r="I83" s="22" t="n">
        <v>200</v>
      </c>
      <c r="J83" s="23" t="s">
        <v>425</v>
      </c>
      <c r="K83" s="24"/>
      <c r="L83" s="24" t="s">
        <v>6</v>
      </c>
      <c r="M83" s="25"/>
      <c r="N83" s="26"/>
    </row>
    <row r="84" customFormat="false" ht="15" hidden="false" customHeight="false" outlineLevel="0" collapsed="false">
      <c r="A84" s="22" t="s">
        <v>426</v>
      </c>
      <c r="B84" s="23" t="s">
        <v>20</v>
      </c>
      <c r="C84" s="23" t="s">
        <v>427</v>
      </c>
      <c r="D84" s="23" t="s">
        <v>318</v>
      </c>
      <c r="E84" s="22" t="s">
        <v>422</v>
      </c>
      <c r="F84" s="23" t="s">
        <v>329</v>
      </c>
      <c r="G84" s="23" t="s">
        <v>423</v>
      </c>
      <c r="H84" s="23" t="s">
        <v>428</v>
      </c>
      <c r="I84" s="22" t="n">
        <v>409</v>
      </c>
      <c r="J84" s="23" t="s">
        <v>399</v>
      </c>
      <c r="K84" s="24"/>
      <c r="L84" s="24" t="s">
        <v>6</v>
      </c>
      <c r="M84" s="25"/>
      <c r="N84" s="26"/>
    </row>
    <row r="85" customFormat="false" ht="15" hidden="false" customHeight="false" outlineLevel="0" collapsed="false">
      <c r="A85" s="22" t="s">
        <v>429</v>
      </c>
      <c r="B85" s="23" t="s">
        <v>20</v>
      </c>
      <c r="C85" s="23" t="s">
        <v>430</v>
      </c>
      <c r="D85" s="23" t="s">
        <v>318</v>
      </c>
      <c r="E85" s="22" t="s">
        <v>51</v>
      </c>
      <c r="F85" s="23" t="s">
        <v>431</v>
      </c>
      <c r="G85" s="23" t="s">
        <v>432</v>
      </c>
      <c r="H85" s="23"/>
      <c r="I85" s="22" t="n">
        <v>200</v>
      </c>
      <c r="J85" s="23" t="s">
        <v>433</v>
      </c>
      <c r="K85" s="24"/>
      <c r="L85" s="24" t="s">
        <v>6</v>
      </c>
      <c r="M85" s="25"/>
      <c r="N85" s="26"/>
    </row>
    <row r="86" customFormat="false" ht="15" hidden="false" customHeight="false" outlineLevel="0" collapsed="false">
      <c r="A86" s="22" t="s">
        <v>434</v>
      </c>
      <c r="B86" s="23" t="s">
        <v>20</v>
      </c>
      <c r="C86" s="23" t="s">
        <v>435</v>
      </c>
      <c r="D86" s="23" t="s">
        <v>318</v>
      </c>
      <c r="E86" s="22" t="s">
        <v>51</v>
      </c>
      <c r="F86" s="23" t="s">
        <v>436</v>
      </c>
      <c r="G86" s="23" t="s">
        <v>437</v>
      </c>
      <c r="H86" s="23"/>
      <c r="I86" s="22" t="n">
        <v>200</v>
      </c>
      <c r="J86" s="23" t="s">
        <v>438</v>
      </c>
      <c r="K86" s="24"/>
      <c r="L86" s="24" t="s">
        <v>6</v>
      </c>
      <c r="M86" s="25"/>
      <c r="N86" s="26"/>
    </row>
    <row r="87" customFormat="false" ht="15" hidden="false" customHeight="false" outlineLevel="0" collapsed="false">
      <c r="A87" s="22" t="s">
        <v>439</v>
      </c>
      <c r="B87" s="23" t="s">
        <v>20</v>
      </c>
      <c r="C87" s="23" t="s">
        <v>440</v>
      </c>
      <c r="D87" s="23" t="s">
        <v>318</v>
      </c>
      <c r="E87" s="22" t="s">
        <v>51</v>
      </c>
      <c r="F87" s="23" t="s">
        <v>441</v>
      </c>
      <c r="G87" s="23" t="s">
        <v>442</v>
      </c>
      <c r="H87" s="23" t="s">
        <v>443</v>
      </c>
      <c r="I87" s="22" t="n">
        <v>200</v>
      </c>
      <c r="J87" s="23" t="s">
        <v>444</v>
      </c>
      <c r="K87" s="24"/>
      <c r="L87" s="24" t="s">
        <v>6</v>
      </c>
      <c r="M87" s="25"/>
      <c r="N87" s="26"/>
    </row>
    <row r="88" customFormat="false" ht="15" hidden="false" customHeight="false" outlineLevel="0" collapsed="false">
      <c r="A88" s="22" t="s">
        <v>445</v>
      </c>
      <c r="B88" s="23" t="s">
        <v>21</v>
      </c>
      <c r="C88" s="23" t="s">
        <v>446</v>
      </c>
      <c r="D88" s="23" t="s">
        <v>318</v>
      </c>
      <c r="E88" s="22" t="s">
        <v>51</v>
      </c>
      <c r="F88" s="23" t="s">
        <v>311</v>
      </c>
      <c r="G88" s="23" t="s">
        <v>312</v>
      </c>
      <c r="H88" s="23"/>
      <c r="I88" s="22" t="n">
        <v>200</v>
      </c>
      <c r="J88" s="23" t="s">
        <v>447</v>
      </c>
      <c r="K88" s="24"/>
      <c r="L88" s="24" t="s">
        <v>6</v>
      </c>
      <c r="M88" s="25"/>
      <c r="N88" s="26"/>
    </row>
    <row r="89" customFormat="false" ht="15" hidden="false" customHeight="false" outlineLevel="0" collapsed="false">
      <c r="A89" s="22" t="s">
        <v>448</v>
      </c>
      <c r="B89" s="23" t="s">
        <v>21</v>
      </c>
      <c r="C89" s="23" t="s">
        <v>449</v>
      </c>
      <c r="D89" s="23" t="s">
        <v>318</v>
      </c>
      <c r="E89" s="22" t="s">
        <v>51</v>
      </c>
      <c r="F89" s="23" t="s">
        <v>450</v>
      </c>
      <c r="G89" s="23" t="s">
        <v>451</v>
      </c>
      <c r="H89" s="23"/>
      <c r="I89" s="22" t="n">
        <v>200</v>
      </c>
      <c r="J89" s="23" t="s">
        <v>452</v>
      </c>
      <c r="K89" s="24"/>
      <c r="L89" s="24" t="s">
        <v>6</v>
      </c>
      <c r="M89" s="25"/>
      <c r="N89" s="26"/>
    </row>
    <row r="90" customFormat="false" ht="23.85" hidden="false" customHeight="false" outlineLevel="0" collapsed="false">
      <c r="A90" s="22" t="s">
        <v>453</v>
      </c>
      <c r="B90" s="23" t="s">
        <v>21</v>
      </c>
      <c r="C90" s="23" t="s">
        <v>454</v>
      </c>
      <c r="D90" s="23" t="s">
        <v>318</v>
      </c>
      <c r="E90" s="22" t="s">
        <v>221</v>
      </c>
      <c r="F90" s="23" t="s">
        <v>450</v>
      </c>
      <c r="G90" s="23" t="s">
        <v>455</v>
      </c>
      <c r="H90" s="23" t="s">
        <v>456</v>
      </c>
      <c r="I90" s="22" t="n">
        <v>200</v>
      </c>
      <c r="J90" s="23" t="s">
        <v>285</v>
      </c>
      <c r="K90" s="24"/>
      <c r="L90" s="24" t="s">
        <v>6</v>
      </c>
      <c r="M90" s="25"/>
      <c r="N90" s="26"/>
    </row>
    <row r="91" customFormat="false" ht="23.85" hidden="false" customHeight="false" outlineLevel="0" collapsed="false">
      <c r="A91" s="22" t="s">
        <v>457</v>
      </c>
      <c r="B91" s="23" t="s">
        <v>21</v>
      </c>
      <c r="C91" s="23" t="s">
        <v>458</v>
      </c>
      <c r="D91" s="23" t="s">
        <v>318</v>
      </c>
      <c r="E91" s="22" t="s">
        <v>221</v>
      </c>
      <c r="F91" s="23" t="s">
        <v>459</v>
      </c>
      <c r="G91" s="23" t="s">
        <v>460</v>
      </c>
      <c r="H91" s="23" t="s">
        <v>461</v>
      </c>
      <c r="I91" s="22" t="n">
        <v>200</v>
      </c>
      <c r="J91" s="23" t="s">
        <v>462</v>
      </c>
      <c r="K91" s="24"/>
      <c r="L91" s="24" t="s">
        <v>6</v>
      </c>
      <c r="M91" s="25"/>
      <c r="N91" s="26"/>
    </row>
    <row r="92" customFormat="false" ht="23.85" hidden="false" customHeight="false" outlineLevel="0" collapsed="false">
      <c r="A92" s="22" t="s">
        <v>463</v>
      </c>
      <c r="B92" s="23" t="s">
        <v>21</v>
      </c>
      <c r="C92" s="23" t="s">
        <v>464</v>
      </c>
      <c r="D92" s="23" t="s">
        <v>318</v>
      </c>
      <c r="E92" s="22" t="s">
        <v>221</v>
      </c>
      <c r="F92" s="23" t="s">
        <v>459</v>
      </c>
      <c r="G92" s="23" t="s">
        <v>460</v>
      </c>
      <c r="H92" s="23" t="s">
        <v>465</v>
      </c>
      <c r="I92" s="22" t="n">
        <v>200</v>
      </c>
      <c r="J92" s="23" t="s">
        <v>466</v>
      </c>
      <c r="K92" s="24"/>
      <c r="L92" s="24" t="s">
        <v>6</v>
      </c>
      <c r="M92" s="25"/>
      <c r="N92" s="26"/>
    </row>
    <row r="93" customFormat="false" ht="23.85" hidden="false" customHeight="false" outlineLevel="0" collapsed="false">
      <c r="A93" s="22" t="s">
        <v>467</v>
      </c>
      <c r="B93" s="23" t="s">
        <v>21</v>
      </c>
      <c r="C93" s="23" t="s">
        <v>468</v>
      </c>
      <c r="D93" s="23" t="s">
        <v>318</v>
      </c>
      <c r="E93" s="22" t="s">
        <v>221</v>
      </c>
      <c r="F93" s="23" t="s">
        <v>469</v>
      </c>
      <c r="G93" s="23" t="s">
        <v>470</v>
      </c>
      <c r="H93" s="23" t="s">
        <v>471</v>
      </c>
      <c r="I93" s="22" t="n">
        <v>200</v>
      </c>
      <c r="J93" s="23" t="s">
        <v>472</v>
      </c>
      <c r="K93" s="24"/>
      <c r="L93" s="24" t="s">
        <v>6</v>
      </c>
      <c r="M93" s="25"/>
      <c r="N93" s="26"/>
    </row>
    <row r="94" customFormat="false" ht="23.85" hidden="false" customHeight="false" outlineLevel="0" collapsed="false">
      <c r="A94" s="22" t="s">
        <v>473</v>
      </c>
      <c r="B94" s="23" t="s">
        <v>21</v>
      </c>
      <c r="C94" s="23" t="s">
        <v>474</v>
      </c>
      <c r="D94" s="23" t="s">
        <v>318</v>
      </c>
      <c r="E94" s="22" t="s">
        <v>221</v>
      </c>
      <c r="F94" s="23" t="s">
        <v>469</v>
      </c>
      <c r="G94" s="23" t="s">
        <v>470</v>
      </c>
      <c r="H94" s="23" t="s">
        <v>475</v>
      </c>
      <c r="I94" s="22" t="n">
        <v>200</v>
      </c>
      <c r="J94" s="23" t="s">
        <v>476</v>
      </c>
      <c r="K94" s="24"/>
      <c r="L94" s="24" t="s">
        <v>6</v>
      </c>
      <c r="M94" s="25"/>
      <c r="N94" s="26"/>
    </row>
    <row r="95" customFormat="false" ht="15" hidden="false" customHeight="false" outlineLevel="0" collapsed="false">
      <c r="A95" s="22" t="s">
        <v>477</v>
      </c>
      <c r="B95" s="23" t="s">
        <v>21</v>
      </c>
      <c r="C95" s="23" t="s">
        <v>478</v>
      </c>
      <c r="D95" s="23" t="s">
        <v>318</v>
      </c>
      <c r="E95" s="22" t="s">
        <v>51</v>
      </c>
      <c r="F95" s="23" t="s">
        <v>450</v>
      </c>
      <c r="G95" s="23" t="s">
        <v>451</v>
      </c>
      <c r="H95" s="23" t="s">
        <v>479</v>
      </c>
      <c r="I95" s="22" t="n">
        <v>422</v>
      </c>
      <c r="J95" s="23" t="s">
        <v>213</v>
      </c>
      <c r="K95" s="24"/>
      <c r="L95" s="24" t="s">
        <v>6</v>
      </c>
      <c r="M95" s="25"/>
      <c r="N95" s="26"/>
    </row>
    <row r="96" customFormat="false" ht="15" hidden="false" customHeight="false" outlineLevel="0" collapsed="false">
      <c r="A96" s="22" t="s">
        <v>480</v>
      </c>
      <c r="B96" s="23" t="s">
        <v>22</v>
      </c>
      <c r="C96" s="23" t="s">
        <v>481</v>
      </c>
      <c r="D96" s="23" t="s">
        <v>22</v>
      </c>
      <c r="E96" s="22" t="s">
        <v>51</v>
      </c>
      <c r="F96" s="23" t="s">
        <v>482</v>
      </c>
      <c r="G96" s="23" t="s">
        <v>483</v>
      </c>
      <c r="H96" s="23"/>
      <c r="I96" s="22" t="n">
        <v>200</v>
      </c>
      <c r="J96" s="23" t="s">
        <v>438</v>
      </c>
      <c r="K96" s="24"/>
      <c r="L96" s="24" t="s">
        <v>6</v>
      </c>
      <c r="M96" s="25"/>
      <c r="N96" s="26"/>
    </row>
    <row r="97" customFormat="false" ht="15" hidden="false" customHeight="false" outlineLevel="0" collapsed="false">
      <c r="A97" s="22" t="s">
        <v>484</v>
      </c>
      <c r="B97" s="23" t="s">
        <v>22</v>
      </c>
      <c r="C97" s="23" t="s">
        <v>485</v>
      </c>
      <c r="D97" s="23" t="s">
        <v>22</v>
      </c>
      <c r="E97" s="22" t="s">
        <v>221</v>
      </c>
      <c r="F97" s="23" t="s">
        <v>482</v>
      </c>
      <c r="G97" s="23" t="s">
        <v>486</v>
      </c>
      <c r="H97" s="23"/>
      <c r="I97" s="22" t="n">
        <v>200</v>
      </c>
      <c r="J97" s="23" t="s">
        <v>487</v>
      </c>
      <c r="K97" s="24"/>
      <c r="L97" s="24" t="s">
        <v>6</v>
      </c>
      <c r="M97" s="25"/>
      <c r="N97" s="26"/>
    </row>
    <row r="98" customFormat="false" ht="15" hidden="false" customHeight="false" outlineLevel="0" collapsed="false">
      <c r="A98" s="22" t="s">
        <v>488</v>
      </c>
      <c r="B98" s="23" t="s">
        <v>22</v>
      </c>
      <c r="C98" s="23" t="s">
        <v>489</v>
      </c>
      <c r="D98" s="23" t="s">
        <v>22</v>
      </c>
      <c r="E98" s="22" t="s">
        <v>51</v>
      </c>
      <c r="F98" s="23" t="s">
        <v>243</v>
      </c>
      <c r="G98" s="23" t="s">
        <v>244</v>
      </c>
      <c r="H98" s="23" t="s">
        <v>490</v>
      </c>
      <c r="I98" s="22" t="n">
        <v>200</v>
      </c>
      <c r="J98" s="23" t="s">
        <v>491</v>
      </c>
      <c r="K98" s="24"/>
      <c r="L98" s="24" t="s">
        <v>6</v>
      </c>
      <c r="M98" s="25"/>
      <c r="N98" s="26"/>
    </row>
    <row r="99" customFormat="false" ht="15" hidden="false" customHeight="false" outlineLevel="0" collapsed="false">
      <c r="A99" s="22" t="s">
        <v>492</v>
      </c>
      <c r="B99" s="23" t="s">
        <v>22</v>
      </c>
      <c r="C99" s="23" t="s">
        <v>493</v>
      </c>
      <c r="D99" s="23" t="s">
        <v>22</v>
      </c>
      <c r="E99" s="22" t="s">
        <v>51</v>
      </c>
      <c r="F99" s="23" t="s">
        <v>243</v>
      </c>
      <c r="G99" s="23" t="s">
        <v>244</v>
      </c>
      <c r="H99" s="23" t="s">
        <v>494</v>
      </c>
      <c r="I99" s="22" t="n">
        <v>403</v>
      </c>
      <c r="J99" s="23" t="s">
        <v>240</v>
      </c>
      <c r="K99" s="24"/>
      <c r="L99" s="24" t="s">
        <v>6</v>
      </c>
      <c r="M99" s="25"/>
      <c r="N99" s="26"/>
    </row>
    <row r="100" customFormat="false" ht="23.85" hidden="false" customHeight="false" outlineLevel="0" collapsed="false">
      <c r="A100" s="22" t="s">
        <v>495</v>
      </c>
      <c r="B100" s="23" t="s">
        <v>22</v>
      </c>
      <c r="C100" s="23" t="s">
        <v>496</v>
      </c>
      <c r="D100" s="23" t="s">
        <v>22</v>
      </c>
      <c r="E100" s="22" t="s">
        <v>221</v>
      </c>
      <c r="F100" s="23" t="s">
        <v>497</v>
      </c>
      <c r="G100" s="23" t="s">
        <v>498</v>
      </c>
      <c r="H100" s="23" t="s">
        <v>499</v>
      </c>
      <c r="I100" s="22" t="n">
        <v>200</v>
      </c>
      <c r="J100" s="23" t="s">
        <v>500</v>
      </c>
      <c r="K100" s="24"/>
      <c r="L100" s="24" t="s">
        <v>6</v>
      </c>
      <c r="M100" s="25"/>
      <c r="N100" s="26"/>
    </row>
    <row r="101" customFormat="false" ht="15" hidden="false" customHeight="false" outlineLevel="0" collapsed="false">
      <c r="A101" s="22" t="s">
        <v>501</v>
      </c>
      <c r="B101" s="23" t="s">
        <v>22</v>
      </c>
      <c r="C101" s="23" t="s">
        <v>502</v>
      </c>
      <c r="D101" s="23" t="s">
        <v>22</v>
      </c>
      <c r="E101" s="22" t="s">
        <v>51</v>
      </c>
      <c r="F101" s="23" t="s">
        <v>233</v>
      </c>
      <c r="G101" s="23" t="s">
        <v>234</v>
      </c>
      <c r="H101" s="23" t="s">
        <v>503</v>
      </c>
      <c r="I101" s="22" t="n">
        <v>403</v>
      </c>
      <c r="J101" s="23" t="s">
        <v>240</v>
      </c>
      <c r="K101" s="24"/>
      <c r="L101" s="24" t="s">
        <v>6</v>
      </c>
      <c r="M101" s="25"/>
      <c r="N101" s="26"/>
    </row>
    <row r="102" customFormat="false" ht="23.85" hidden="false" customHeight="false" outlineLevel="0" collapsed="false">
      <c r="A102" s="22" t="s">
        <v>504</v>
      </c>
      <c r="B102" s="23" t="s">
        <v>22</v>
      </c>
      <c r="C102" s="23" t="s">
        <v>505</v>
      </c>
      <c r="D102" s="23" t="s">
        <v>22</v>
      </c>
      <c r="E102" s="22" t="s">
        <v>221</v>
      </c>
      <c r="F102" s="23" t="s">
        <v>469</v>
      </c>
      <c r="G102" s="23" t="s">
        <v>470</v>
      </c>
      <c r="H102" s="23" t="s">
        <v>503</v>
      </c>
      <c r="I102" s="22" t="n">
        <v>403</v>
      </c>
      <c r="J102" s="23" t="s">
        <v>506</v>
      </c>
      <c r="K102" s="24"/>
      <c r="L102" s="24" t="s">
        <v>6</v>
      </c>
      <c r="M102" s="25"/>
      <c r="N102" s="26"/>
    </row>
    <row r="103" customFormat="false" ht="15" hidden="false" customHeight="false" outlineLevel="0" collapsed="false">
      <c r="A103" s="22" t="s">
        <v>507</v>
      </c>
      <c r="B103" s="23" t="s">
        <v>23</v>
      </c>
      <c r="C103" s="23" t="s">
        <v>508</v>
      </c>
      <c r="D103" s="23" t="s">
        <v>318</v>
      </c>
      <c r="E103" s="22" t="s">
        <v>51</v>
      </c>
      <c r="F103" s="23" t="s">
        <v>509</v>
      </c>
      <c r="G103" s="23" t="s">
        <v>510</v>
      </c>
      <c r="H103" s="23" t="s">
        <v>511</v>
      </c>
      <c r="I103" s="22" t="n">
        <v>200</v>
      </c>
      <c r="J103" s="23" t="s">
        <v>512</v>
      </c>
      <c r="K103" s="24"/>
      <c r="L103" s="24" t="s">
        <v>6</v>
      </c>
      <c r="M103" s="25"/>
      <c r="N103" s="26"/>
    </row>
    <row r="104" customFormat="false" ht="15" hidden="false" customHeight="false" outlineLevel="0" collapsed="false">
      <c r="A104" s="22" t="s">
        <v>513</v>
      </c>
      <c r="B104" s="23" t="s">
        <v>23</v>
      </c>
      <c r="C104" s="23" t="s">
        <v>514</v>
      </c>
      <c r="D104" s="23" t="s">
        <v>279</v>
      </c>
      <c r="E104" s="22" t="s">
        <v>51</v>
      </c>
      <c r="F104" s="23" t="s">
        <v>509</v>
      </c>
      <c r="G104" s="23" t="s">
        <v>510</v>
      </c>
      <c r="H104" s="23" t="s">
        <v>515</v>
      </c>
      <c r="I104" s="22" t="n">
        <v>200</v>
      </c>
      <c r="J104" s="23" t="s">
        <v>516</v>
      </c>
      <c r="K104" s="24"/>
      <c r="L104" s="24" t="s">
        <v>6</v>
      </c>
      <c r="M104" s="25"/>
      <c r="N104" s="26"/>
    </row>
    <row r="105" customFormat="false" ht="15" hidden="false" customHeight="false" outlineLevel="0" collapsed="false">
      <c r="A105" s="22" t="s">
        <v>517</v>
      </c>
      <c r="B105" s="23" t="s">
        <v>23</v>
      </c>
      <c r="C105" s="23" t="s">
        <v>518</v>
      </c>
      <c r="D105" s="23" t="s">
        <v>519</v>
      </c>
      <c r="E105" s="22" t="s">
        <v>51</v>
      </c>
      <c r="F105" s="23" t="s">
        <v>509</v>
      </c>
      <c r="G105" s="23" t="s">
        <v>510</v>
      </c>
      <c r="H105" s="23" t="s">
        <v>520</v>
      </c>
      <c r="I105" s="22" t="n">
        <v>404</v>
      </c>
      <c r="J105" s="23" t="s">
        <v>521</v>
      </c>
      <c r="K105" s="24"/>
      <c r="L105" s="24" t="s">
        <v>6</v>
      </c>
      <c r="M105" s="25"/>
      <c r="N105" s="26"/>
    </row>
    <row r="106" customFormat="false" ht="15" hidden="false" customHeight="false" outlineLevel="0" collapsed="false">
      <c r="A106" s="22" t="s">
        <v>522</v>
      </c>
      <c r="B106" s="23" t="s">
        <v>23</v>
      </c>
      <c r="C106" s="23" t="s">
        <v>523</v>
      </c>
      <c r="D106" s="23" t="s">
        <v>201</v>
      </c>
      <c r="E106" s="22" t="s">
        <v>51</v>
      </c>
      <c r="F106" s="23" t="s">
        <v>509</v>
      </c>
      <c r="G106" s="23" t="s">
        <v>510</v>
      </c>
      <c r="H106" s="23" t="s">
        <v>204</v>
      </c>
      <c r="I106" s="22" t="n">
        <v>404</v>
      </c>
      <c r="J106" s="23" t="s">
        <v>524</v>
      </c>
      <c r="K106" s="24"/>
      <c r="L106" s="24" t="s">
        <v>6</v>
      </c>
      <c r="M106" s="25"/>
      <c r="N106" s="26"/>
    </row>
    <row r="107" customFormat="false" ht="15" hidden="false" customHeight="false" outlineLevel="0" collapsed="false">
      <c r="A107" s="22" t="s">
        <v>525</v>
      </c>
      <c r="B107" s="23" t="s">
        <v>23</v>
      </c>
      <c r="C107" s="23" t="s">
        <v>526</v>
      </c>
      <c r="D107" s="23" t="s">
        <v>50</v>
      </c>
      <c r="E107" s="22" t="s">
        <v>51</v>
      </c>
      <c r="F107" s="23" t="s">
        <v>509</v>
      </c>
      <c r="G107" s="23" t="s">
        <v>510</v>
      </c>
      <c r="H107" s="23" t="s">
        <v>230</v>
      </c>
      <c r="I107" s="22" t="n">
        <v>401</v>
      </c>
      <c r="J107" s="23" t="s">
        <v>146</v>
      </c>
      <c r="K107" s="24"/>
      <c r="L107" s="24" t="s">
        <v>6</v>
      </c>
      <c r="M107" s="25"/>
      <c r="N107" s="26"/>
    </row>
    <row r="108" customFormat="false" ht="15" hidden="false" customHeight="false" outlineLevel="0" collapsed="false">
      <c r="A108" s="22" t="s">
        <v>527</v>
      </c>
      <c r="B108" s="23" t="s">
        <v>24</v>
      </c>
      <c r="C108" s="23" t="s">
        <v>528</v>
      </c>
      <c r="D108" s="23" t="s">
        <v>50</v>
      </c>
      <c r="E108" s="22" t="s">
        <v>64</v>
      </c>
      <c r="F108" s="23" t="s">
        <v>83</v>
      </c>
      <c r="G108" s="23" t="s">
        <v>84</v>
      </c>
      <c r="H108" s="23" t="s">
        <v>529</v>
      </c>
      <c r="I108" s="22" t="n">
        <v>422</v>
      </c>
      <c r="J108" s="23" t="s">
        <v>530</v>
      </c>
      <c r="K108" s="24"/>
      <c r="L108" s="24" t="s">
        <v>6</v>
      </c>
      <c r="M108" s="25"/>
      <c r="N108" s="26"/>
    </row>
    <row r="109" customFormat="false" ht="23.85" hidden="false" customHeight="false" outlineLevel="0" collapsed="false">
      <c r="A109" s="22" t="s">
        <v>531</v>
      </c>
      <c r="B109" s="23" t="s">
        <v>24</v>
      </c>
      <c r="C109" s="23" t="s">
        <v>532</v>
      </c>
      <c r="D109" s="23" t="s">
        <v>50</v>
      </c>
      <c r="E109" s="22" t="s">
        <v>64</v>
      </c>
      <c r="F109" s="23" t="s">
        <v>83</v>
      </c>
      <c r="G109" s="23" t="s">
        <v>84</v>
      </c>
      <c r="H109" s="23" t="s">
        <v>533</v>
      </c>
      <c r="I109" s="22" t="n">
        <v>429</v>
      </c>
      <c r="J109" s="23" t="s">
        <v>534</v>
      </c>
      <c r="K109" s="24"/>
      <c r="L109" s="24" t="s">
        <v>6</v>
      </c>
      <c r="M109" s="25"/>
      <c r="N109" s="26"/>
    </row>
    <row r="110" customFormat="false" ht="15" hidden="false" customHeight="false" outlineLevel="0" collapsed="false">
      <c r="A110" s="22" t="s">
        <v>535</v>
      </c>
      <c r="B110" s="23" t="s">
        <v>24</v>
      </c>
      <c r="C110" s="23" t="s">
        <v>536</v>
      </c>
      <c r="D110" s="23" t="s">
        <v>50</v>
      </c>
      <c r="E110" s="22" t="s">
        <v>64</v>
      </c>
      <c r="F110" s="23" t="s">
        <v>65</v>
      </c>
      <c r="G110" s="23" t="s">
        <v>66</v>
      </c>
      <c r="H110" s="23" t="s">
        <v>537</v>
      </c>
      <c r="I110" s="22" t="n">
        <v>413</v>
      </c>
      <c r="J110" s="23" t="s">
        <v>538</v>
      </c>
      <c r="K110" s="24"/>
      <c r="L110" s="24" t="s">
        <v>6</v>
      </c>
      <c r="M110" s="25"/>
      <c r="N110" s="26"/>
    </row>
    <row r="111" customFormat="false" ht="23.85" hidden="false" customHeight="false" outlineLevel="0" collapsed="false">
      <c r="A111" s="22" t="s">
        <v>539</v>
      </c>
      <c r="B111" s="23" t="s">
        <v>24</v>
      </c>
      <c r="C111" s="23" t="s">
        <v>540</v>
      </c>
      <c r="D111" s="23" t="s">
        <v>134</v>
      </c>
      <c r="E111" s="22" t="s">
        <v>51</v>
      </c>
      <c r="F111" s="23" t="s">
        <v>135</v>
      </c>
      <c r="G111" s="23" t="s">
        <v>136</v>
      </c>
      <c r="H111" s="23" t="s">
        <v>541</v>
      </c>
      <c r="I111" s="22" t="n">
        <v>200</v>
      </c>
      <c r="J111" s="23" t="s">
        <v>542</v>
      </c>
      <c r="K111" s="24"/>
      <c r="L111" s="24" t="s">
        <v>6</v>
      </c>
      <c r="M111" s="25"/>
      <c r="N111" s="26"/>
    </row>
    <row r="112" customFormat="false" ht="23.85" hidden="false" customHeight="false" outlineLevel="0" collapsed="false">
      <c r="A112" s="22" t="s">
        <v>543</v>
      </c>
      <c r="B112" s="23" t="s">
        <v>24</v>
      </c>
      <c r="C112" s="23" t="s">
        <v>544</v>
      </c>
      <c r="D112" s="23" t="s">
        <v>50</v>
      </c>
      <c r="E112" s="22" t="s">
        <v>51</v>
      </c>
      <c r="F112" s="23" t="s">
        <v>52</v>
      </c>
      <c r="G112" s="23" t="s">
        <v>53</v>
      </c>
      <c r="H112" s="23" t="s">
        <v>545</v>
      </c>
      <c r="I112" s="22" t="n">
        <v>200</v>
      </c>
      <c r="J112" s="23" t="s">
        <v>546</v>
      </c>
      <c r="K112" s="24"/>
      <c r="L112" s="24" t="s">
        <v>6</v>
      </c>
      <c r="M112" s="25"/>
      <c r="N112" s="26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8"/>
      <c r="L113" s="29" t="s">
        <v>6</v>
      </c>
      <c r="M113" s="28"/>
      <c r="N113" s="28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8"/>
      <c r="L114" s="29" t="s">
        <v>6</v>
      </c>
      <c r="M114" s="28"/>
      <c r="N114" s="28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8"/>
      <c r="L115" s="29" t="s">
        <v>6</v>
      </c>
      <c r="M115" s="28"/>
      <c r="N115" s="28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8"/>
      <c r="L116" s="29" t="s">
        <v>6</v>
      </c>
      <c r="M116" s="28"/>
      <c r="N116" s="28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8"/>
      <c r="L117" s="29" t="s">
        <v>6</v>
      </c>
      <c r="M117" s="28"/>
      <c r="N117" s="28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8"/>
      <c r="L118" s="29" t="s">
        <v>6</v>
      </c>
      <c r="M118" s="28"/>
      <c r="N118" s="28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8"/>
      <c r="L119" s="29" t="s">
        <v>6</v>
      </c>
      <c r="M119" s="28"/>
      <c r="N119" s="28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8"/>
      <c r="L120" s="29" t="s">
        <v>6</v>
      </c>
      <c r="M120" s="28"/>
      <c r="N120" s="28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8"/>
      <c r="L121" s="29" t="s">
        <v>6</v>
      </c>
      <c r="M121" s="28"/>
      <c r="N121" s="28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8"/>
      <c r="L122" s="29" t="s">
        <v>6</v>
      </c>
      <c r="M122" s="28"/>
      <c r="N122" s="28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8"/>
      <c r="L123" s="29" t="s">
        <v>6</v>
      </c>
      <c r="M123" s="28"/>
      <c r="N123" s="28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29" t="s">
        <v>6</v>
      </c>
      <c r="M124" s="28"/>
      <c r="N124" s="28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8"/>
      <c r="L125" s="29" t="s">
        <v>6</v>
      </c>
      <c r="M125" s="28"/>
      <c r="N125" s="28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8"/>
      <c r="L126" s="29" t="s">
        <v>6</v>
      </c>
      <c r="M126" s="28"/>
      <c r="N126" s="28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8"/>
      <c r="L127" s="29" t="s">
        <v>6</v>
      </c>
      <c r="M127" s="28"/>
      <c r="N127" s="28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8"/>
      <c r="L128" s="29" t="s">
        <v>6</v>
      </c>
      <c r="M128" s="28"/>
      <c r="N128" s="28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8"/>
      <c r="L129" s="29" t="s">
        <v>6</v>
      </c>
      <c r="M129" s="28"/>
      <c r="N129" s="28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8"/>
      <c r="L130" s="29" t="s">
        <v>6</v>
      </c>
      <c r="M130" s="28"/>
      <c r="N130" s="28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8"/>
      <c r="L131" s="29" t="s">
        <v>6</v>
      </c>
      <c r="M131" s="28"/>
      <c r="N131" s="28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8"/>
      <c r="L132" s="29" t="s">
        <v>6</v>
      </c>
      <c r="M132" s="28"/>
      <c r="N132" s="28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8"/>
      <c r="L133" s="29" t="s">
        <v>6</v>
      </c>
      <c r="M133" s="28"/>
      <c r="N133" s="28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8"/>
      <c r="L134" s="29" t="s">
        <v>6</v>
      </c>
      <c r="M134" s="28"/>
      <c r="N134" s="28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8"/>
      <c r="L135" s="29" t="s">
        <v>6</v>
      </c>
      <c r="M135" s="28"/>
      <c r="N135" s="28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8"/>
      <c r="L136" s="29" t="s">
        <v>6</v>
      </c>
      <c r="M136" s="28"/>
      <c r="N136" s="28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8"/>
      <c r="L137" s="29" t="s">
        <v>6</v>
      </c>
      <c r="M137" s="28"/>
      <c r="N137" s="28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8"/>
      <c r="L138" s="29" t="s">
        <v>6</v>
      </c>
      <c r="M138" s="28"/>
      <c r="N138" s="28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8"/>
      <c r="L139" s="29" t="s">
        <v>6</v>
      </c>
      <c r="M139" s="28"/>
      <c r="N139" s="28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8"/>
      <c r="L140" s="29" t="s">
        <v>6</v>
      </c>
      <c r="M140" s="28"/>
      <c r="N140" s="28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8"/>
      <c r="L141" s="29" t="s">
        <v>6</v>
      </c>
      <c r="M141" s="28"/>
      <c r="N141" s="28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8"/>
      <c r="L142" s="29" t="s">
        <v>6</v>
      </c>
      <c r="M142" s="28"/>
      <c r="N142" s="28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8"/>
      <c r="L143" s="29" t="s">
        <v>6</v>
      </c>
      <c r="M143" s="28"/>
      <c r="N143" s="28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8"/>
      <c r="L144" s="29" t="s">
        <v>6</v>
      </c>
      <c r="M144" s="28"/>
      <c r="N144" s="28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8"/>
      <c r="L145" s="29" t="s">
        <v>6</v>
      </c>
      <c r="M145" s="28"/>
      <c r="N145" s="28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8"/>
      <c r="L146" s="29" t="s">
        <v>6</v>
      </c>
      <c r="M146" s="28"/>
      <c r="N146" s="28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8"/>
      <c r="L147" s="29" t="s">
        <v>6</v>
      </c>
      <c r="M147" s="28"/>
      <c r="N147" s="28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8"/>
      <c r="L148" s="29" t="s">
        <v>6</v>
      </c>
      <c r="M148" s="28"/>
      <c r="N148" s="28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8"/>
      <c r="L149" s="29" t="s">
        <v>6</v>
      </c>
      <c r="M149" s="28"/>
      <c r="N149" s="28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8"/>
      <c r="L150" s="29" t="s">
        <v>6</v>
      </c>
      <c r="M150" s="28"/>
      <c r="N150" s="28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29" t="s">
        <v>6</v>
      </c>
      <c r="M151" s="28"/>
      <c r="N151" s="28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8"/>
      <c r="L152" s="29" t="s">
        <v>6</v>
      </c>
      <c r="M152" s="28"/>
      <c r="N152" s="28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8"/>
      <c r="L153" s="29" t="s">
        <v>6</v>
      </c>
      <c r="M153" s="28"/>
      <c r="N153" s="28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8"/>
      <c r="L154" s="29" t="s">
        <v>6</v>
      </c>
      <c r="M154" s="28"/>
      <c r="N154" s="28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8"/>
      <c r="L155" s="29" t="s">
        <v>6</v>
      </c>
      <c r="M155" s="28"/>
      <c r="N155" s="28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8"/>
      <c r="L156" s="29" t="s">
        <v>6</v>
      </c>
      <c r="M156" s="28"/>
      <c r="N156" s="28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8"/>
      <c r="L157" s="29" t="s">
        <v>6</v>
      </c>
      <c r="M157" s="28"/>
      <c r="N157" s="28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8"/>
      <c r="L158" s="29" t="s">
        <v>6</v>
      </c>
      <c r="M158" s="28"/>
      <c r="N158" s="28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8"/>
      <c r="L159" s="29" t="s">
        <v>6</v>
      </c>
      <c r="M159" s="28"/>
      <c r="N159" s="28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8"/>
      <c r="L160" s="29" t="s">
        <v>6</v>
      </c>
      <c r="M160" s="28"/>
      <c r="N160" s="28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8"/>
      <c r="L161" s="29" t="s">
        <v>6</v>
      </c>
      <c r="M161" s="28"/>
      <c r="N161" s="28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8"/>
      <c r="L162" s="29" t="s">
        <v>6</v>
      </c>
      <c r="M162" s="28"/>
      <c r="N162" s="28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8"/>
      <c r="L163" s="29" t="s">
        <v>6</v>
      </c>
      <c r="M163" s="28"/>
      <c r="N163" s="28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8"/>
      <c r="L164" s="29" t="s">
        <v>6</v>
      </c>
      <c r="M164" s="28"/>
      <c r="N164" s="28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8"/>
      <c r="L165" s="29" t="s">
        <v>6</v>
      </c>
      <c r="M165" s="28"/>
      <c r="N165" s="28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8"/>
      <c r="L166" s="29" t="s">
        <v>6</v>
      </c>
      <c r="M166" s="28"/>
      <c r="N166" s="28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8"/>
      <c r="L167" s="29" t="s">
        <v>6</v>
      </c>
      <c r="M167" s="28"/>
      <c r="N167" s="28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8"/>
      <c r="L168" s="29" t="s">
        <v>6</v>
      </c>
      <c r="M168" s="28"/>
      <c r="N168" s="28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8"/>
      <c r="L169" s="29" t="s">
        <v>6</v>
      </c>
      <c r="M169" s="28"/>
      <c r="N169" s="28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8"/>
      <c r="L170" s="29" t="s">
        <v>6</v>
      </c>
      <c r="M170" s="28"/>
      <c r="N170" s="28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8"/>
      <c r="L171" s="29" t="s">
        <v>6</v>
      </c>
      <c r="M171" s="28"/>
      <c r="N171" s="28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8"/>
      <c r="L172" s="29" t="s">
        <v>6</v>
      </c>
      <c r="M172" s="28"/>
      <c r="N172" s="28"/>
    </row>
  </sheetData>
  <autoFilter ref="A1:N112"/>
  <conditionalFormatting sqref="L2:L172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conditionalFormatting sqref="K2:K172">
    <cfRule type="expression" priority="5" aboveAverage="0" equalAverage="0" bottom="0" percent="0" rank="0" text="" dxfId="7">
      <formula>AND(K2&lt;&gt;"",K2&lt;&gt;I2)</formula>
    </cfRule>
  </conditionalFormatting>
  <dataValidations count="1">
    <dataValidation allowBlank="false" error="Choose Not Run, Pass, Fail or Blocked" errorStyle="stop" operator="between" showDropDown="false" showErrorMessage="false" showInputMessage="false" sqref="L2:L172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30" t="s">
        <v>547</v>
      </c>
      <c r="B1" s="30" t="s">
        <v>548</v>
      </c>
      <c r="C1" s="30" t="s">
        <v>549</v>
      </c>
      <c r="D1" s="30" t="s">
        <v>550</v>
      </c>
    </row>
    <row r="2" customFormat="false" ht="15" hidden="false" customHeight="false" outlineLevel="0" collapsed="false">
      <c r="A2" s="31" t="s">
        <v>551</v>
      </c>
      <c r="B2" s="31" t="s">
        <v>552</v>
      </c>
      <c r="C2" s="31" t="s">
        <v>553</v>
      </c>
      <c r="D2" s="31" t="s">
        <v>554</v>
      </c>
    </row>
    <row r="3" customFormat="false" ht="15" hidden="false" customHeight="false" outlineLevel="0" collapsed="false">
      <c r="A3" s="31" t="s">
        <v>555</v>
      </c>
      <c r="B3" s="31" t="s">
        <v>552</v>
      </c>
      <c r="C3" s="31" t="s">
        <v>556</v>
      </c>
      <c r="D3" s="31" t="s">
        <v>557</v>
      </c>
    </row>
    <row r="4" customFormat="false" ht="15" hidden="false" customHeight="false" outlineLevel="0" collapsed="false">
      <c r="A4" s="31" t="s">
        <v>558</v>
      </c>
      <c r="B4" s="31" t="s">
        <v>552</v>
      </c>
      <c r="C4" s="31" t="s">
        <v>559</v>
      </c>
      <c r="D4" s="31" t="s">
        <v>560</v>
      </c>
    </row>
    <row r="5" customFormat="false" ht="15" hidden="false" customHeight="false" outlineLevel="0" collapsed="false">
      <c r="A5" s="31" t="s">
        <v>561</v>
      </c>
      <c r="B5" s="31" t="s">
        <v>552</v>
      </c>
      <c r="C5" s="31" t="s">
        <v>562</v>
      </c>
      <c r="D5" s="31" t="s">
        <v>563</v>
      </c>
    </row>
    <row r="6" customFormat="false" ht="15" hidden="false" customHeight="false" outlineLevel="0" collapsed="false">
      <c r="A6" s="31" t="s">
        <v>564</v>
      </c>
      <c r="B6" s="31" t="s">
        <v>552</v>
      </c>
      <c r="C6" s="31" t="s">
        <v>565</v>
      </c>
      <c r="D6" s="31" t="s">
        <v>566</v>
      </c>
    </row>
    <row r="7" customFormat="false" ht="15" hidden="false" customHeight="false" outlineLevel="0" collapsed="false">
      <c r="A7" s="31" t="s">
        <v>567</v>
      </c>
      <c r="B7" s="31" t="s">
        <v>552</v>
      </c>
      <c r="C7" s="31" t="s">
        <v>568</v>
      </c>
      <c r="D7" s="31" t="s">
        <v>569</v>
      </c>
    </row>
    <row r="8" customFormat="false" ht="15" hidden="false" customHeight="false" outlineLevel="0" collapsed="false">
      <c r="A8" s="31" t="s">
        <v>570</v>
      </c>
      <c r="B8" s="31" t="s">
        <v>552</v>
      </c>
      <c r="C8" s="31" t="s">
        <v>565</v>
      </c>
      <c r="D8" s="31" t="s">
        <v>571</v>
      </c>
    </row>
    <row r="9" customFormat="false" ht="15" hidden="false" customHeight="false" outlineLevel="0" collapsed="false">
      <c r="A9" s="31" t="s">
        <v>572</v>
      </c>
      <c r="B9" s="31" t="s">
        <v>552</v>
      </c>
      <c r="C9" s="31" t="s">
        <v>573</v>
      </c>
      <c r="D9" s="31" t="s">
        <v>574</v>
      </c>
    </row>
    <row r="10" customFormat="false" ht="15" hidden="false" customHeight="false" outlineLevel="0" collapsed="false">
      <c r="A10" s="31" t="s">
        <v>575</v>
      </c>
      <c r="B10" s="31" t="s">
        <v>552</v>
      </c>
      <c r="C10" s="31" t="s">
        <v>576</v>
      </c>
      <c r="D10" s="31" t="s">
        <v>577</v>
      </c>
    </row>
    <row r="11" customFormat="false" ht="15" hidden="false" customHeight="false" outlineLevel="0" collapsed="false">
      <c r="A11" s="31" t="s">
        <v>578</v>
      </c>
      <c r="B11" s="31" t="s">
        <v>552</v>
      </c>
      <c r="C11" s="31" t="s">
        <v>579</v>
      </c>
      <c r="D11" s="31" t="s">
        <v>580</v>
      </c>
    </row>
    <row r="12" customFormat="false" ht="15" hidden="false" customHeight="false" outlineLevel="0" collapsed="false">
      <c r="A12" s="31" t="s">
        <v>581</v>
      </c>
      <c r="B12" s="31" t="s">
        <v>552</v>
      </c>
      <c r="C12" s="31" t="s">
        <v>582</v>
      </c>
      <c r="D12" s="31" t="s">
        <v>583</v>
      </c>
    </row>
    <row r="13" customFormat="false" ht="15" hidden="false" customHeight="false" outlineLevel="0" collapsed="false">
      <c r="A13" s="31" t="s">
        <v>584</v>
      </c>
      <c r="B13" s="31" t="s">
        <v>552</v>
      </c>
      <c r="C13" s="31" t="s">
        <v>585</v>
      </c>
      <c r="D13" s="31" t="s">
        <v>586</v>
      </c>
    </row>
    <row r="14" customFormat="false" ht="15" hidden="false" customHeight="false" outlineLevel="0" collapsed="false">
      <c r="A14" s="31" t="s">
        <v>587</v>
      </c>
      <c r="B14" s="31" t="s">
        <v>552</v>
      </c>
      <c r="C14" s="31" t="s">
        <v>588</v>
      </c>
      <c r="D14" s="31" t="s">
        <v>589</v>
      </c>
    </row>
    <row r="15" customFormat="false" ht="15" hidden="false" customHeight="false" outlineLevel="0" collapsed="false">
      <c r="A15" s="31" t="s">
        <v>590</v>
      </c>
      <c r="B15" s="31" t="s">
        <v>591</v>
      </c>
      <c r="C15" s="31"/>
      <c r="D15" s="31" t="s">
        <v>592</v>
      </c>
    </row>
    <row r="16" customFormat="false" ht="15" hidden="false" customHeight="false" outlineLevel="0" collapsed="false">
      <c r="A16" s="31" t="s">
        <v>593</v>
      </c>
      <c r="B16" s="31" t="s">
        <v>591</v>
      </c>
      <c r="C16" s="31"/>
      <c r="D16" s="31" t="s">
        <v>594</v>
      </c>
    </row>
    <row r="17" customFormat="false" ht="23.85" hidden="false" customHeight="false" outlineLevel="0" collapsed="false">
      <c r="A17" s="31" t="s">
        <v>595</v>
      </c>
      <c r="B17" s="31" t="s">
        <v>596</v>
      </c>
      <c r="C17" s="31"/>
      <c r="D17" s="31" t="s">
        <v>597</v>
      </c>
    </row>
    <row r="18" customFormat="false" ht="23.85" hidden="false" customHeight="false" outlineLevel="0" collapsed="false">
      <c r="A18" s="31" t="s">
        <v>598</v>
      </c>
      <c r="B18" s="31" t="s">
        <v>599</v>
      </c>
      <c r="C18" s="31" t="s">
        <v>600</v>
      </c>
      <c r="D18" s="31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1"/>
    <col collapsed="false" customWidth="true" hidden="false" outlineLevel="0" max="5" min="5" style="0" width="48"/>
    <col collapsed="false" customWidth="true" hidden="false" outlineLevel="0" max="7" min="6" style="0" width="30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21" t="s">
        <v>602</v>
      </c>
      <c r="B1" s="21" t="s">
        <v>35</v>
      </c>
      <c r="C1" s="21" t="s">
        <v>603</v>
      </c>
      <c r="D1" s="21" t="s">
        <v>604</v>
      </c>
      <c r="E1" s="21" t="s">
        <v>605</v>
      </c>
      <c r="F1" s="21" t="s">
        <v>606</v>
      </c>
      <c r="G1" s="21" t="s">
        <v>607</v>
      </c>
      <c r="H1" s="21" t="s">
        <v>608</v>
      </c>
      <c r="I1" s="21" t="s">
        <v>609</v>
      </c>
    </row>
    <row r="2" customFormat="false" ht="23.85" hidden="false" customHeight="false" outlineLevel="0" collapsed="false">
      <c r="A2" s="32" t="s">
        <v>610</v>
      </c>
      <c r="B2" s="32" t="s">
        <v>113</v>
      </c>
      <c r="C2" s="32" t="s">
        <v>611</v>
      </c>
      <c r="D2" s="32" t="s">
        <v>612</v>
      </c>
      <c r="E2" s="32" t="s">
        <v>613</v>
      </c>
      <c r="F2" s="32" t="s">
        <v>614</v>
      </c>
      <c r="G2" s="32" t="s">
        <v>615</v>
      </c>
      <c r="H2" s="32" t="s">
        <v>616</v>
      </c>
      <c r="I2" s="32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  <c r="H3" s="28"/>
      <c r="I3" s="28"/>
    </row>
    <row r="4" customFormat="false" ht="15" hidden="false" customHeight="false" outlineLevel="0" collapsed="false">
      <c r="A4" s="28"/>
      <c r="B4" s="28"/>
      <c r="C4" s="28"/>
      <c r="D4" s="28"/>
      <c r="E4" s="28"/>
      <c r="F4" s="28"/>
      <c r="G4" s="28"/>
      <c r="H4" s="28"/>
      <c r="I4" s="28"/>
    </row>
    <row r="5" customFormat="false" ht="15" hidden="false" customHeight="false" outlineLevel="0" collapsed="false">
      <c r="A5" s="28"/>
      <c r="B5" s="28"/>
      <c r="C5" s="28"/>
      <c r="D5" s="28"/>
      <c r="E5" s="28"/>
      <c r="F5" s="28"/>
      <c r="G5" s="28"/>
      <c r="H5" s="28"/>
      <c r="I5" s="28"/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28"/>
      <c r="I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28"/>
      <c r="G25" s="28"/>
      <c r="H25" s="28"/>
      <c r="I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28"/>
      <c r="G26" s="28"/>
      <c r="H26" s="28"/>
      <c r="I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28"/>
      <c r="G27" s="28"/>
      <c r="H27" s="28"/>
      <c r="I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28"/>
      <c r="G28" s="28"/>
      <c r="H28" s="28"/>
      <c r="I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28"/>
      <c r="G29" s="28"/>
      <c r="H29" s="28"/>
      <c r="I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28"/>
      <c r="G30" s="28"/>
      <c r="H30" s="28"/>
      <c r="I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  <c r="I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  <c r="I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</sheetData>
  <dataValidations count="2">
    <dataValidation allowBlank="false" errorStyle="stop" operator="between" showDropDown="false" showErrorMessage="false" showInputMessage="false" sqref="D2:D51" type="list">
      <formula1>"Low,Medium,High,Critical"</formula1>
      <formula2>0</formula2>
    </dataValidation>
    <dataValidation allowBlank="false" errorStyle="stop" operator="between" showDropDown="false" showErrorMessage="false" showInputMessage="false" sqref="H2:H51" type="list">
      <formula1>"Open,In progress,Fixed,Retested,Closed"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2026-10-03T20:43:29Z</dcterms:created>
  <dc:creator>openpyxl</dc:creator>
  <dc:description/>
  <dc:language>en-US</dc:language>
  <cp:lastModifiedBy/>
  <dcterms:modified xsi:type="dcterms:W3CDTF">2026-10-03T20:43:29Z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